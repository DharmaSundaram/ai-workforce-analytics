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b1cfe6334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6159fcdf878d43ff"/>
    <x:sheet xmlns:r="http://schemas.openxmlformats.org/officeDocument/2006/relationships" name="Summary" sheetId="2" r:id="R17aaf3feb66144c1"/>
    <x:sheet xmlns:r="http://schemas.openxmlformats.org/officeDocument/2006/relationships" name="Data Dictionary" sheetId="3" r:id="R3b8798c4c99d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941df7fc04b35" /><Relationship Type="http://schemas.openxmlformats.org/officeDocument/2006/relationships/theme" Target="/xl/theme/theme1.xml" Id="Rb7069d61c85e4229" /><Relationship Type="http://schemas.openxmlformats.org/officeDocument/2006/relationships/sharedStrings" Target="/xl/sharedStrings.xml" Id="R915089706fc64d62" /><Relationship Type="http://schemas.openxmlformats.org/officeDocument/2006/relationships/worksheet" Target="/xl/worksheets/sheet1.xml" Id="R6159fcdf878d43ff" /><Relationship Type="http://schemas.openxmlformats.org/officeDocument/2006/relationships/worksheet" Target="/xl/worksheets/sheet2.xml" Id="R17aaf3feb66144c1" /><Relationship Type="http://schemas.openxmlformats.org/officeDocument/2006/relationships/worksheet" Target="/xl/worksheets/sheet3.xml" Id="R3b8798c4c99d4c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ad1e1ee0f64fe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Total Hours</c:v>
          </c:tx>
          <c:cat>
            <c:strRef>
              <c:f>'Summary'!$A$12:$A$17</c:f>
              <c:strCache>
                <c:ptCount val="0"/>
              </c:strCache>
            </c:strRef>
          </c:cat>
          <c:val>
            <c:numRef>
              <c:f>'Summary'!$B$12:$B$17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Net Productive Hours</c:v>
          </c:tx>
          <c:cat>
            <c:strRef>
              <c:f>'Summary'!$A$12:$A$17</c:f>
              <c:strCache>
                <c:ptCount val="0"/>
              </c:strCache>
            </c:strRef>
          </c:cat>
          <c:val>
            <c:numRef>
              <c:f>'Summary'!$C$12:$C$17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ad1e1ee0f64f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_ML_Productivity_Dataset" displayName="AI_ML_Productivity_Dataset" ref="A1:S161" headerRowCount="1">
  <x:tableColumns count="19">
    <x:tableColumn id="1" name="Date"/>
    <x:tableColumn id="2" name="Day"/>
    <x:tableColumn id="3" name="Employee ID"/>
    <x:tableColumn id="4" name="Employee Name"/>
    <x:tableColumn id="5" name="Project Name"/>
    <x:tableColumn id="6" name="Task Name"/>
    <x:tableColumn id="7" name="Working Hours for Every Day"/>
    <x:tableColumn id="8" name="Total Working Hours Per Day"/>
    <x:tableColumn id="9" name="Lunch Time"/>
    <x:tableColumn id="10" name="Break Time"/>
    <x:tableColumn id="11" name="Lunch Time &amp; Break Time"/>
    <x:tableColumn id="12" name="Total Leave"/>
    <x:tableColumn id="13" name="Permission"/>
    <x:tableColumn id="14" name="Total Leave &amp; Permission"/>
    <x:tableColumn id="15" name="Net Productive Hours"/>
    <x:tableColumn id="16" name="Overtime Hours"/>
    <x:tableColumn id="17" name="Productivity Score"/>
    <x:tableColumn id="18" name="Productivity Label"/>
    <x:tableColumn id="1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d56d03790745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a676f511e504b6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4" hidden="0" customWidth="1"/>
    <x:col min="5" max="5" width="32" hidden="0" customWidth="1"/>
    <x:col min="6" max="6" width="22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8" hidden="0" customWidth="1"/>
    <x:col min="12" max="12" width="12" hidden="0" customWidth="1"/>
    <x:col min="13" max="13" width="12" hidden="0" customWidth="1"/>
    <x:col min="14" max="14" width="18" hidden="0" customWidth="1"/>
    <x:col min="15" max="15" width="18" hidden="0" customWidth="1"/>
    <x:col min="16" max="16" width="12" hidden="0" customWidth="1"/>
    <x:col min="17" max="17" width="14" hidden="0" customWidth="1"/>
    <x:col min="18" max="18" width="14" hidden="0" customWidth="1"/>
    <x:col min="19" max="19" width="12" hidden="0" customWidth="1"/>
  </x:cols>
  <x:sheetData>
    <x:row r="1">
      <x:c r="A1" s="6" t="str">
        <x:v>Date</x:v>
      </x:c>
      <x:c r="B1" s="6" t="str">
        <x:v>Day</x:v>
      </x:c>
      <x:c r="C1" s="6" t="str">
        <x:v>Employee ID</x:v>
      </x:c>
      <x:c r="D1" s="6" t="str">
        <x:v>Employee Name</x:v>
      </x:c>
      <x:c r="E1" s="6" t="str">
        <x:v>Project Name</x:v>
      </x:c>
      <x:c r="F1" s="6" t="str">
        <x:v>Task Name</x:v>
      </x:c>
      <x:c r="G1" s="6" t="str">
        <x:v>Working Hours for Every Day</x:v>
      </x:c>
      <x:c r="H1" s="6" t="str">
        <x:v>Total Working Hours Per Day</x:v>
      </x:c>
      <x:c r="I1" s="6" t="str">
        <x:v>Lunch Time</x:v>
      </x:c>
      <x:c r="J1" s="6" t="str">
        <x:v>Break Time</x:v>
      </x:c>
      <x:c r="K1" s="6" t="str">
        <x:v>Lunch Time &amp; Break Time</x:v>
      </x:c>
      <x:c r="L1" s="6" t="str">
        <x:v>Total Leave</x:v>
      </x:c>
      <x:c r="M1" s="6" t="str">
        <x:v>Permission</x:v>
      </x:c>
      <x:c r="N1" s="6" t="str">
        <x:v>Total Leave &amp; Permission</x:v>
      </x:c>
      <x:c r="O1" s="6" t="str">
        <x:v>Net Productive Hours</x:v>
      </x:c>
      <x:c r="P1" s="6" t="str">
        <x:v>Overtime Hours</x:v>
      </x:c>
      <x:c r="Q1" s="6" t="str">
        <x:v>Productivity Score</x:v>
      </x:c>
      <x:c r="R1" s="6" t="str">
        <x:v>Productivity Label</x:v>
      </x:c>
      <x:c r="S1" s="6" t="str">
        <x:v>Status</x:v>
      </x:c>
    </x:row>
    <x:row r="2">
      <x:c r="A2" s="16" t="n">
        <x:v>46143</x:v>
      </x:c>
      <x:c r="B2" s="17" t="str">
        <x:v>Friday</x:v>
      </x:c>
      <x:c r="C2" s="17" t="str">
        <x:v>EMP001</x:v>
      </x:c>
      <x:c r="D2" s="17" t="str">
        <x:v>Aarav</x:v>
      </x:c>
      <x:c r="E2" s="17" t="str">
        <x:v>AI Employee Productivity Tracker</x:v>
      </x:c>
      <x:c r="F2" s="17" t="str">
        <x:v>Data Collection</x:v>
      </x:c>
      <x:c r="G2" s="18" t="n">
        <x:v>6</x:v>
      </x:c>
      <x:c r="H2" s="18" t="n">
        <x:v>6</x:v>
      </x:c>
      <x:c r="I2" s="18" t="n">
        <x:v>1</x:v>
      </x:c>
      <x:c r="J2" s="18" t="n">
        <x:v>0.5</x:v>
      </x:c>
      <x:c r="K2" s="18" t="n">
        <x:f>I2+J2</x:f>
        <x:v>1.5</x:v>
      </x:c>
      <x:c r="L2" s="18" t="n">
        <x:v>0</x:v>
      </x:c>
      <x:c r="M2" s="18" t="n">
        <x:v>0</x:v>
      </x:c>
      <x:c r="N2" s="18" t="n">
        <x:f>L2+M2</x:f>
        <x:v>0</x:v>
      </x:c>
      <x:c r="O2" s="18" t="n">
        <x:f>MAX(0,G2-I2-J2)</x:f>
        <x:v>4.5</x:v>
      </x:c>
      <x:c r="P2" s="18" t="n">
        <x:f>MAX(0,G2-8)</x:f>
        <x:v>0</x:v>
      </x:c>
      <x:c r="Q2" s="18" t="n">
        <x:f>ROUND(MIN(100,MAX(0,(O2/6.5)*100-N2*3+P2*4)),1)</x:f>
        <x:v>69.2</x:v>
      </x:c>
      <x:c r="R2" s="17" t="str">
        <x:f>IF(Q2&gt;=85,"High",IF(Q2&gt;=65,"Medium","Low"))</x:f>
        <x:v>Medium</x:v>
      </x:c>
      <x:c r="S2" s="17" t="str">
        <x:f>IF(L2&gt;=8,"Leave",IF(L2&gt;0,"Half Day",IF(M2&gt;0,"Permission",IF(P2&gt;0,"Overtime","Regular"))))</x:f>
        <x:v>Regular</x:v>
      </x:c>
    </x:row>
    <x:row r="3">
      <x:c r="A3" s="16" t="n">
        <x:v>46144</x:v>
      </x:c>
      <x:c r="B3" s="17" t="str">
        <x:v>Saturday</x:v>
      </x:c>
      <x:c r="C3" s="17" t="str">
        <x:v>EMP002</x:v>
      </x:c>
      <x:c r="D3" s="17" t="str">
        <x:v>Diya</x:v>
      </x:c>
      <x:c r="E3" s="17" t="str">
        <x:v>Project Cost Estimator</x:v>
      </x:c>
      <x:c r="F3" s="17" t="str">
        <x:v>Client Review</x:v>
      </x:c>
      <x:c r="G3" s="18" t="n">
        <x:v>2</x:v>
      </x:c>
      <x:c r="H3" s="18" t="n">
        <x:v>2</x:v>
      </x:c>
      <x:c r="I3" s="18" t="n">
        <x:v>0.5</x:v>
      </x:c>
      <x:c r="J3" s="18" t="n">
        <x:v>0.25</x:v>
      </x:c>
      <x:c r="K3" s="18" t="n">
        <x:f>I3+J3</x:f>
        <x:v>0.75</x:v>
      </x:c>
      <x:c r="L3" s="18" t="n">
        <x:v>0</x:v>
      </x:c>
      <x:c r="M3" s="18" t="n">
        <x:v>0</x:v>
      </x:c>
      <x:c r="N3" s="18" t="n">
        <x:f>L3+M3</x:f>
        <x:v>0</x:v>
      </x:c>
      <x:c r="O3" s="18" t="n">
        <x:f>MAX(0,G3-I3-J3)</x:f>
        <x:v>1.25</x:v>
      </x:c>
      <x:c r="P3" s="18" t="n">
        <x:f>MAX(0,G3-8)</x:f>
        <x:v>0</x:v>
      </x:c>
      <x:c r="Q3" s="18" t="n">
        <x:f>ROUND(MIN(100,MAX(0,(O3/6.5)*100-N3*3+P3*4)),1)</x:f>
        <x:v>19.2</x:v>
      </x:c>
      <x:c r="R3" s="17" t="str">
        <x:f>IF(Q3&gt;=85,"High",IF(Q3&gt;=65,"Medium","Low"))</x:f>
        <x:v>Low</x:v>
      </x:c>
      <x:c r="S3" s="17" t="str">
        <x:f>IF(L3&gt;=8,"Leave",IF(L3&gt;0,"Half Day",IF(M3&gt;0,"Permission",IF(P3&gt;0,"Overtime","Regular"))))</x:f>
        <x:v>Regular</x:v>
      </x:c>
    </x:row>
    <x:row r="4">
      <x:c r="A4" s="16" t="n">
        <x:v>46145</x:v>
      </x:c>
      <x:c r="B4" s="17" t="str">
        <x:v>Sunday</x:v>
      </x:c>
      <x:c r="C4" s="17" t="str">
        <x:v>EMP003</x:v>
      </x:c>
      <x:c r="D4" s="17" t="str">
        <x:v>Kavin</x:v>
      </x:c>
      <x:c r="E4" s="17" t="str">
        <x:v>AI Employee Productivity Tracker</x:v>
      </x:c>
      <x:c r="F4" s="17" t="str">
        <x:v>Model Testing</x:v>
      </x:c>
      <x:c r="G4" s="18" t="n">
        <x:v>0</x:v>
      </x:c>
      <x:c r="H4" s="18" t="n">
        <x:v>0</x:v>
      </x:c>
      <x:c r="I4" s="18" t="n">
        <x:v>0</x:v>
      </x:c>
      <x:c r="J4" s="18" t="n">
        <x:v>0</x:v>
      </x:c>
      <x:c r="K4" s="18" t="n">
        <x:f>I4+J4</x:f>
        <x:v>0</x:v>
      </x:c>
      <x:c r="L4" s="18" t="n">
        <x:v>0</x:v>
      </x:c>
      <x:c r="M4" s="18" t="n">
        <x:v>0</x:v>
      </x:c>
      <x:c r="N4" s="18" t="n">
        <x:f>L4+M4</x:f>
        <x:v>0</x:v>
      </x:c>
      <x:c r="O4" s="18" t="n">
        <x:f>MAX(0,G4-I4-J4)</x:f>
        <x:v>0</x:v>
      </x:c>
      <x:c r="P4" s="18" t="n">
        <x:f>MAX(0,G4-8)</x:f>
        <x:v>0</x:v>
      </x:c>
      <x:c r="Q4" s="18" t="n">
        <x:f>ROUND(MIN(100,MAX(0,(O4/6.5)*100-N4*3+P4*4)),1)</x:f>
        <x:v>0</x:v>
      </x:c>
      <x:c r="R4" s="17" t="str">
        <x:f>IF(Q4&gt;=85,"High",IF(Q4&gt;=65,"Medium","Low"))</x:f>
        <x:v>Low</x:v>
      </x:c>
      <x:c r="S4" s="17" t="str">
        <x:f>IF(L4&gt;=8,"Leave",IF(L4&gt;0,"Half Day",IF(M4&gt;0,"Permission",IF(P4&gt;0,"Overtime","Regular"))))</x:f>
        <x:v>Regular</x:v>
      </x:c>
    </x:row>
    <x:row r="5">
      <x:c r="A5" s="16" t="n">
        <x:v>46146</x:v>
      </x:c>
      <x:c r="B5" s="17" t="str">
        <x:v>Monday</x:v>
      </x:c>
      <x:c r="C5" s="17" t="str">
        <x:v>EMP004</x:v>
      </x:c>
      <x:c r="D5" s="17" t="str">
        <x:v>Meera</x:v>
      </x:c>
      <x:c r="E5" s="17" t="str">
        <x:v>Project Cost Estimator</x:v>
      </x:c>
      <x:c r="F5" s="17" t="str">
        <x:v>Data Cleaning</x:v>
      </x:c>
      <x:c r="G5" s="18" t="n">
        <x:v>9</x:v>
      </x:c>
      <x:c r="H5" s="18" t="n">
        <x:v>8</x:v>
      </x:c>
      <x:c r="I5" s="18" t="n">
        <x:v>1</x:v>
      </x:c>
      <x:c r="J5" s="18" t="n">
        <x:v>0.5</x:v>
      </x:c>
      <x:c r="K5" s="18" t="n">
        <x:f>I5+J5</x:f>
        <x:v>1.5</x:v>
      </x:c>
      <x:c r="L5" s="18" t="n">
        <x:v>0</x:v>
      </x:c>
      <x:c r="M5" s="18" t="n">
        <x:v>0</x:v>
      </x:c>
      <x:c r="N5" s="18" t="n">
        <x:f>L5+M5</x:f>
        <x:v>0</x:v>
      </x:c>
      <x:c r="O5" s="18" t="n">
        <x:f>MAX(0,G5-I5-J5)</x:f>
        <x:v>7.5</x:v>
      </x:c>
      <x:c r="P5" s="18" t="n">
        <x:f>MAX(0,G5-8)</x:f>
        <x:v>1</x:v>
      </x:c>
      <x:c r="Q5" s="18" t="n">
        <x:f>ROUND(MIN(100,MAX(0,(O5/6.5)*100-N5*3+P5*4)),1)</x:f>
        <x:v>100</x:v>
      </x:c>
      <x:c r="R5" s="17" t="str">
        <x:f>IF(Q5&gt;=85,"High",IF(Q5&gt;=65,"Medium","Low"))</x:f>
        <x:v>High</x:v>
      </x:c>
      <x:c r="S5" s="17" t="str">
        <x:f>IF(L5&gt;=8,"Leave",IF(L5&gt;0,"Half Day",IF(M5&gt;0,"Permission",IF(P5&gt;0,"Overtime","Regular"))))</x:f>
        <x:v>Overtime</x:v>
      </x:c>
    </x:row>
    <x:row r="6">
      <x:c r="A6" s="16" t="n">
        <x:v>46147</x:v>
      </x:c>
      <x:c r="B6" s="17" t="str">
        <x:v>Tuesday</x:v>
      </x:c>
      <x:c r="C6" s="17" t="str">
        <x:v>EMP005</x:v>
      </x:c>
      <x:c r="D6" s="17" t="str">
        <x:v>Rahul</x:v>
      </x:c>
      <x:c r="E6" s="17" t="str">
        <x:v>AI Employee Productivity Tracker</x:v>
      </x:c>
      <x:c r="F6" s="17" t="str">
        <x:v>Deployment</x:v>
      </x:c>
      <x:c r="G6" s="18" t="n">
        <x:v>5</x:v>
      </x:c>
      <x:c r="H6" s="18" t="n">
        <x:v>5</x:v>
      </x:c>
      <x:c r="I6" s="18" t="n">
        <x:v>1</x:v>
      </x:c>
      <x:c r="J6" s="18" t="n">
        <x:v>0.25</x:v>
      </x:c>
      <x:c r="K6" s="18" t="n">
        <x:f>I6+J6</x:f>
        <x:v>1.25</x:v>
      </x:c>
      <x:c r="L6" s="18" t="n">
        <x:v>0</x:v>
      </x:c>
      <x:c r="M6" s="18" t="n">
        <x:v>3</x:v>
      </x:c>
      <x:c r="N6" s="18" t="n">
        <x:f>L6+M6</x:f>
        <x:v>3</x:v>
      </x:c>
      <x:c r="O6" s="18" t="n">
        <x:f>MAX(0,G6-I6-J6)</x:f>
        <x:v>3.75</x:v>
      </x:c>
      <x:c r="P6" s="18" t="n">
        <x:f>MAX(0,G6-8)</x:f>
        <x:v>0</x:v>
      </x:c>
      <x:c r="Q6" s="18" t="n">
        <x:f>ROUND(MIN(100,MAX(0,(O6/6.5)*100-N6*3+P6*4)),1)</x:f>
        <x:v>48.7</x:v>
      </x:c>
      <x:c r="R6" s="17" t="str">
        <x:f>IF(Q6&gt;=85,"High",IF(Q6&gt;=65,"Medium","Low"))</x:f>
        <x:v>Low</x:v>
      </x:c>
      <x:c r="S6" s="17" t="str">
        <x:f>IF(L6&gt;=8,"Leave",IF(L6&gt;0,"Half Day",IF(M6&gt;0,"Permission",IF(P6&gt;0,"Overtime","Regular"))))</x:f>
        <x:v>Permission</x:v>
      </x:c>
    </x:row>
    <x:row r="7">
      <x:c r="A7" s="16" t="n">
        <x:v>46148</x:v>
      </x:c>
      <x:c r="B7" s="17" t="str">
        <x:v>Wednesday</x:v>
      </x:c>
      <x:c r="C7" s="17" t="str">
        <x:v>EMP006</x:v>
      </x:c>
      <x:c r="D7" s="17" t="str">
        <x:v>Swathi</x:v>
      </x:c>
      <x:c r="E7" s="17" t="str">
        <x:v>Leave Pattern Analysis</x:v>
      </x:c>
      <x:c r="F7" s="17" t="str">
        <x:v>Documentation</x:v>
      </x:c>
      <x:c r="G7" s="18" t="n">
        <x:v>4</x:v>
      </x:c>
      <x:c r="H7" s="18" t="n">
        <x:v>4</x:v>
      </x:c>
      <x:c r="I7" s="18" t="n">
        <x:v>0.5</x:v>
      </x:c>
      <x:c r="J7" s="18" t="n">
        <x:v>0.25</x:v>
      </x:c>
      <x:c r="K7" s="18" t="n">
        <x:f>I7+J7</x:f>
        <x:v>0.75</x:v>
      </x:c>
      <x:c r="L7" s="18" t="n">
        <x:v>0</x:v>
      </x:c>
      <x:c r="M7" s="18" t="n">
        <x:v>2</x:v>
      </x:c>
      <x:c r="N7" s="18" t="n">
        <x:f>L7+M7</x:f>
        <x:v>2</x:v>
      </x:c>
      <x:c r="O7" s="18" t="n">
        <x:f>MAX(0,G7-I7-J7)</x:f>
        <x:v>3.25</x:v>
      </x:c>
      <x:c r="P7" s="18" t="n">
        <x:f>MAX(0,G7-8)</x:f>
        <x:v>0</x:v>
      </x:c>
      <x:c r="Q7" s="18" t="n">
        <x:f>ROUND(MIN(100,MAX(0,(O7/6.5)*100-N7*3+P7*4)),1)</x:f>
        <x:v>44</x:v>
      </x:c>
      <x:c r="R7" s="17" t="str">
        <x:f>IF(Q7&gt;=85,"High",IF(Q7&gt;=65,"Medium","Low"))</x:f>
        <x:v>Low</x:v>
      </x:c>
      <x:c r="S7" s="17" t="str">
        <x:f>IF(L7&gt;=8,"Leave",IF(L7&gt;0,"Half Day",IF(M7&gt;0,"Permission",IF(P7&gt;0,"Overtime","Regular"))))</x:f>
        <x:v>Permission</x:v>
      </x:c>
    </x:row>
    <x:row r="8">
      <x:c r="A8" s="16" t="n">
        <x:v>46149</x:v>
      </x:c>
      <x:c r="B8" s="17" t="str">
        <x:v>Thursday</x:v>
      </x:c>
      <x:c r="C8" s="17" t="str">
        <x:v>EMP007</x:v>
      </x:c>
      <x:c r="D8" s="17" t="str">
        <x:v>Nisha</x:v>
      </x:c>
      <x:c r="E8" s="17" t="str">
        <x:v>Smart Attendance Analytics</x:v>
      </x:c>
      <x:c r="F8" s="17" t="str">
        <x:v>Model Training</x:v>
      </x:c>
      <x:c r="G8" s="18" t="n">
        <x:v>4</x:v>
      </x:c>
      <x:c r="H8" s="18" t="n">
        <x:v>4</x:v>
      </x:c>
      <x:c r="I8" s="18" t="n">
        <x:v>0.5</x:v>
      </x:c>
      <x:c r="J8" s="18" t="n">
        <x:v>0.25</x:v>
      </x:c>
      <x:c r="K8" s="18" t="n">
        <x:f>I8+J8</x:f>
        <x:v>0.75</x:v>
      </x:c>
      <x:c r="L8" s="18" t="n">
        <x:v>4</x:v>
      </x:c>
      <x:c r="M8" s="18" t="n">
        <x:v>0</x:v>
      </x:c>
      <x:c r="N8" s="18" t="n">
        <x:f>L8+M8</x:f>
        <x:v>4</x:v>
      </x:c>
      <x:c r="O8" s="18" t="n">
        <x:f>MAX(0,G8-I8-J8)</x:f>
        <x:v>3.25</x:v>
      </x:c>
      <x:c r="P8" s="18" t="n">
        <x:f>MAX(0,G8-8)</x:f>
        <x:v>0</x:v>
      </x:c>
      <x:c r="Q8" s="18" t="n">
        <x:f>ROUND(MIN(100,MAX(0,(O8/6.5)*100-N8*3+P8*4)),1)</x:f>
        <x:v>38</x:v>
      </x:c>
      <x:c r="R8" s="17" t="str">
        <x:f>IF(Q8&gt;=85,"High",IF(Q8&gt;=65,"Medium","Low"))</x:f>
        <x:v>Low</x:v>
      </x:c>
      <x:c r="S8" s="17" t="str">
        <x:f>IF(L8&gt;=8,"Leave",IF(L8&gt;0,"Half Day",IF(M8&gt;0,"Permission",IF(P8&gt;0,"Overtime","Regular"))))</x:f>
        <x:v>Half Day</x:v>
      </x:c>
    </x:row>
    <x:row r="9">
      <x:c r="A9" s="16" t="n">
        <x:v>46150</x:v>
      </x:c>
      <x:c r="B9" s="17" t="str">
        <x:v>Friday</x:v>
      </x:c>
      <x:c r="C9" s="17" t="str">
        <x:v>EMP008</x:v>
      </x:c>
      <x:c r="D9" s="17" t="str">
        <x:v>Vikram</x:v>
      </x:c>
      <x:c r="E9" s="17" t="str">
        <x:v>Leave Pattern Analysis</x:v>
      </x:c>
      <x:c r="F9" s="17" t="str">
        <x:v>Data Collection</x:v>
      </x:c>
      <x:c r="G9" s="18" t="n">
        <x:v>8.5</x:v>
      </x:c>
      <x:c r="H9" s="18" t="n">
        <x:v>8</x:v>
      </x:c>
      <x:c r="I9" s="18" t="n">
        <x:v>1</x:v>
      </x:c>
      <x:c r="J9" s="18" t="n">
        <x:v>0.5</x:v>
      </x:c>
      <x:c r="K9" s="18" t="n">
        <x:f>I9+J9</x:f>
        <x:v>1.5</x:v>
      </x:c>
      <x:c r="L9" s="18" t="n">
        <x:v>0</x:v>
      </x:c>
      <x:c r="M9" s="18" t="n">
        <x:v>0</x:v>
      </x:c>
      <x:c r="N9" s="18" t="n">
        <x:f>L9+M9</x:f>
        <x:v>0</x:v>
      </x:c>
      <x:c r="O9" s="18" t="n">
        <x:f>MAX(0,G9-I9-J9)</x:f>
        <x:v>7</x:v>
      </x:c>
      <x:c r="P9" s="18" t="n">
        <x:f>MAX(0,G9-8)</x:f>
        <x:v>0.5</x:v>
      </x:c>
      <x:c r="Q9" s="18" t="n">
        <x:f>ROUND(MIN(100,MAX(0,(O9/6.5)*100-N9*3+P9*4)),1)</x:f>
        <x:v>100</x:v>
      </x:c>
      <x:c r="R9" s="17" t="str">
        <x:f>IF(Q9&gt;=85,"High",IF(Q9&gt;=65,"Medium","Low"))</x:f>
        <x:v>High</x:v>
      </x:c>
      <x:c r="S9" s="17" t="str">
        <x:f>IF(L9&gt;=8,"Leave",IF(L9&gt;0,"Half Day",IF(M9&gt;0,"Permission",IF(P9&gt;0,"Overtime","Regular"))))</x:f>
        <x:v>Overtime</x:v>
      </x:c>
    </x:row>
    <x:row r="10">
      <x:c r="A10" s="16" t="n">
        <x:v>46151</x:v>
      </x:c>
      <x:c r="B10" s="17" t="str">
        <x:v>Saturday</x:v>
      </x:c>
      <x:c r="C10" s="17" t="str">
        <x:v>EMP001</x:v>
      </x:c>
      <x:c r="D10" s="17" t="str">
        <x:v>Aarav</x:v>
      </x:c>
      <x:c r="E10" s="17" t="str">
        <x:v>Smart Attendance Analytics</x:v>
      </x:c>
      <x:c r="F10" s="17" t="str">
        <x:v>Bug Fixing</x:v>
      </x:c>
      <x:c r="G10" s="18" t="n">
        <x:v>0</x:v>
      </x:c>
      <x:c r="H10" s="18" t="n">
        <x:v>0</x:v>
      </x:c>
      <x:c r="I10" s="18" t="n">
        <x:v>0</x:v>
      </x:c>
      <x:c r="J10" s="18" t="n">
        <x:v>0</x:v>
      </x:c>
      <x:c r="K10" s="18" t="n">
        <x:f>I10+J10</x:f>
        <x:v>0</x:v>
      </x:c>
      <x:c r="L10" s="18" t="n">
        <x:v>0</x:v>
      </x:c>
      <x:c r="M10" s="18" t="n">
        <x:v>0</x:v>
      </x:c>
      <x:c r="N10" s="18" t="n">
        <x:f>L10+M10</x:f>
        <x:v>0</x:v>
      </x:c>
      <x:c r="O10" s="18" t="n">
        <x:f>MAX(0,G10-I10-J10)</x:f>
        <x:v>0</x:v>
      </x:c>
      <x:c r="P10" s="18" t="n">
        <x:f>MAX(0,G10-8)</x:f>
        <x:v>0</x:v>
      </x:c>
      <x:c r="Q10" s="18" t="n">
        <x:f>ROUND(MIN(100,MAX(0,(O10/6.5)*100-N10*3+P10*4)),1)</x:f>
        <x:v>0</x:v>
      </x:c>
      <x:c r="R10" s="17" t="str">
        <x:f>IF(Q10&gt;=85,"High",IF(Q10&gt;=65,"Medium","Low"))</x:f>
        <x:v>Low</x:v>
      </x:c>
      <x:c r="S10" s="17" t="str">
        <x:f>IF(L10&gt;=8,"Leave",IF(L10&gt;0,"Half Day",IF(M10&gt;0,"Permission",IF(P10&gt;0,"Overtime","Regular"))))</x:f>
        <x:v>Regular</x:v>
      </x:c>
    </x:row>
    <x:row r="11">
      <x:c r="A11" s="16" t="n">
        <x:v>46152</x:v>
      </x:c>
      <x:c r="B11" s="17" t="str">
        <x:v>Sunday</x:v>
      </x:c>
      <x:c r="C11" s="17" t="str">
        <x:v>EMP002</x:v>
      </x:c>
      <x:c r="D11" s="17" t="str">
        <x:v>Diya</x:v>
      </x:c>
      <x:c r="E11" s="17" t="str">
        <x:v>Leave Pattern Analysis</x:v>
      </x:c>
      <x:c r="F11" s="17" t="str">
        <x:v>Dashboard Design</x:v>
      </x:c>
      <x:c r="G11" s="18" t="n">
        <x:v>4</x:v>
      </x:c>
      <x:c r="H11" s="18" t="n">
        <x:v>4</x:v>
      </x:c>
      <x:c r="I11" s="18" t="n">
        <x:v>0.5</x:v>
      </x:c>
      <x:c r="J11" s="18" t="n">
        <x:v>0.25</x:v>
      </x:c>
      <x:c r="K11" s="18" t="n">
        <x:f>I11+J11</x:f>
        <x:v>0.75</x:v>
      </x:c>
      <x:c r="L11" s="18" t="n">
        <x:v>0</x:v>
      </x:c>
      <x:c r="M11" s="18" t="n">
        <x:v>0</x:v>
      </x:c>
      <x:c r="N11" s="18" t="n">
        <x:f>L11+M11</x:f>
        <x:v>0</x:v>
      </x:c>
      <x:c r="O11" s="18" t="n">
        <x:f>MAX(0,G11-I11-J11)</x:f>
        <x:v>3.25</x:v>
      </x:c>
      <x:c r="P11" s="18" t="n">
        <x:f>MAX(0,G11-8)</x:f>
        <x:v>0</x:v>
      </x:c>
      <x:c r="Q11" s="18" t="n">
        <x:f>ROUND(MIN(100,MAX(0,(O11/6.5)*100-N11*3+P11*4)),1)</x:f>
        <x:v>50</x:v>
      </x:c>
      <x:c r="R11" s="17" t="str">
        <x:f>IF(Q11&gt;=85,"High",IF(Q11&gt;=65,"Medium","Low"))</x:f>
        <x:v>Low</x:v>
      </x:c>
      <x:c r="S11" s="17" t="str">
        <x:f>IF(L11&gt;=8,"Leave",IF(L11&gt;0,"Half Day",IF(M11&gt;0,"Permission",IF(P11&gt;0,"Overtime","Regular"))))</x:f>
        <x:v>Regular</x:v>
      </x:c>
    </x:row>
    <x:row r="12">
      <x:c r="A12" s="16" t="n">
        <x:v>46153</x:v>
      </x:c>
      <x:c r="B12" s="17" t="str">
        <x:v>Monday</x:v>
      </x:c>
      <x:c r="C12" s="17" t="str">
        <x:v>EMP003</x:v>
      </x:c>
      <x:c r="D12" s="17" t="str">
        <x:v>Kavin</x:v>
      </x:c>
      <x:c r="E12" s="17" t="str">
        <x:v>Task Time Prediction Model</x:v>
      </x:c>
      <x:c r="F12" s="17" t="str">
        <x:v>Feature Engineering</x:v>
      </x:c>
      <x:c r="G12" s="18" t="n">
        <x:v>9</x:v>
      </x:c>
      <x:c r="H12" s="18" t="n">
        <x:v>8</x:v>
      </x:c>
      <x:c r="I12" s="18" t="n">
        <x:v>1</x:v>
      </x:c>
      <x:c r="J12" s="18" t="n">
        <x:v>0.5</x:v>
      </x:c>
      <x:c r="K12" s="18" t="n">
        <x:f>I12+J12</x:f>
        <x:v>1.5</x:v>
      </x:c>
      <x:c r="L12" s="18" t="n">
        <x:v>0</x:v>
      </x:c>
      <x:c r="M12" s="18" t="n">
        <x:v>0</x:v>
      </x:c>
      <x:c r="N12" s="18" t="n">
        <x:f>L12+M12</x:f>
        <x:v>0</x:v>
      </x:c>
      <x:c r="O12" s="18" t="n">
        <x:f>MAX(0,G12-I12-J12)</x:f>
        <x:v>7.5</x:v>
      </x:c>
      <x:c r="P12" s="18" t="n">
        <x:f>MAX(0,G12-8)</x:f>
        <x:v>1</x:v>
      </x:c>
      <x:c r="Q12" s="18" t="n">
        <x:f>ROUND(MIN(100,MAX(0,(O12/6.5)*100-N12*3+P12*4)),1)</x:f>
        <x:v>100</x:v>
      </x:c>
      <x:c r="R12" s="17" t="str">
        <x:f>IF(Q12&gt;=85,"High",IF(Q12&gt;=65,"Medium","Low"))</x:f>
        <x:v>High</x:v>
      </x:c>
      <x:c r="S12" s="17" t="str">
        <x:f>IF(L12&gt;=8,"Leave",IF(L12&gt;0,"Half Day",IF(M12&gt;0,"Permission",IF(P12&gt;0,"Overtime","Regular"))))</x:f>
        <x:v>Overtime</x:v>
      </x:c>
    </x:row>
    <x:row r="13">
      <x:c r="A13" s="16" t="n">
        <x:v>46154</x:v>
      </x:c>
      <x:c r="B13" s="17" t="str">
        <x:v>Tuesday</x:v>
      </x:c>
      <x:c r="C13" s="17" t="str">
        <x:v>EMP004</x:v>
      </x:c>
      <x:c r="D13" s="17" t="str">
        <x:v>Meera</x:v>
      </x:c>
      <x:c r="E13" s="17" t="str">
        <x:v>Workload Balancing Dashboard</x:v>
      </x:c>
      <x:c r="F13" s="17" t="str">
        <x:v>Deployment</x:v>
      </x:c>
      <x:c r="G13" s="18" t="n">
        <x:v>8</x:v>
      </x:c>
      <x:c r="H13" s="18" t="n">
        <x:v>8</x:v>
      </x:c>
      <x:c r="I13" s="18" t="n">
        <x:v>1</x:v>
      </x:c>
      <x:c r="J13" s="18" t="n">
        <x:v>0.5</x:v>
      </x:c>
      <x:c r="K13" s="18" t="n">
        <x:f>I13+J13</x:f>
        <x:v>1.5</x:v>
      </x:c>
      <x:c r="L13" s="18" t="n">
        <x:v>0</x:v>
      </x:c>
      <x:c r="M13" s="18" t="n">
        <x:v>0</x:v>
      </x:c>
      <x:c r="N13" s="18" t="n">
        <x:f>L13+M13</x:f>
        <x:v>0</x:v>
      </x:c>
      <x:c r="O13" s="18" t="n">
        <x:f>MAX(0,G13-I13-J13)</x:f>
        <x:v>6.5</x:v>
      </x:c>
      <x:c r="P13" s="18" t="n">
        <x:f>MAX(0,G13-8)</x:f>
        <x:v>0</x:v>
      </x:c>
      <x:c r="Q13" s="18" t="n">
        <x:f>ROUND(MIN(100,MAX(0,(O13/6.5)*100-N13*3+P13*4)),1)</x:f>
        <x:v>100</x:v>
      </x:c>
      <x:c r="R13" s="17" t="str">
        <x:f>IF(Q13&gt;=85,"High",IF(Q13&gt;=65,"Medium","Low"))</x:f>
        <x:v>High</x:v>
      </x:c>
      <x:c r="S13" s="17" t="str">
        <x:f>IF(L13&gt;=8,"Leave",IF(L13&gt;0,"Half Day",IF(M13&gt;0,"Permission",IF(P13&gt;0,"Overtime","Regular"))))</x:f>
        <x:v>Regular</x:v>
      </x:c>
    </x:row>
    <x:row r="14">
      <x:c r="A14" s="16" t="n">
        <x:v>46155</x:v>
      </x:c>
      <x:c r="B14" s="17" t="str">
        <x:v>Wednesday</x:v>
      </x:c>
      <x:c r="C14" s="17" t="str">
        <x:v>EMP005</x:v>
      </x:c>
      <x:c r="D14" s="17" t="str">
        <x:v>Rahul</x:v>
      </x:c>
      <x:c r="E14" s="17" t="str">
        <x:v>Task Time Prediction Model</x:v>
      </x:c>
      <x:c r="F14" s="17" t="str">
        <x:v>Client Review</x:v>
      </x:c>
      <x:c r="G14" s="18" t="n">
        <x:v>8.5</x:v>
      </x:c>
      <x:c r="H14" s="18" t="n">
        <x:v>8</x:v>
      </x:c>
      <x:c r="I14" s="18" t="n">
        <x:v>1</x:v>
      </x:c>
      <x:c r="J14" s="18" t="n">
        <x:v>0.5</x:v>
      </x:c>
      <x:c r="K14" s="18" t="n">
        <x:f>I14+J14</x:f>
        <x:v>1.5</x:v>
      </x:c>
      <x:c r="L14" s="18" t="n">
        <x:v>0</x:v>
      </x:c>
      <x:c r="M14" s="18" t="n">
        <x:v>0</x:v>
      </x:c>
      <x:c r="N14" s="18" t="n">
        <x:f>L14+M14</x:f>
        <x:v>0</x:v>
      </x:c>
      <x:c r="O14" s="18" t="n">
        <x:f>MAX(0,G14-I14-J14)</x:f>
        <x:v>7</x:v>
      </x:c>
      <x:c r="P14" s="18" t="n">
        <x:f>MAX(0,G14-8)</x:f>
        <x:v>0.5</x:v>
      </x:c>
      <x:c r="Q14" s="18" t="n">
        <x:f>ROUND(MIN(100,MAX(0,(O14/6.5)*100-N14*3+P14*4)),1)</x:f>
        <x:v>100</x:v>
      </x:c>
      <x:c r="R14" s="17" t="str">
        <x:f>IF(Q14&gt;=85,"High",IF(Q14&gt;=65,"Medium","Low"))</x:f>
        <x:v>High</x:v>
      </x:c>
      <x:c r="S14" s="17" t="str">
        <x:f>IF(L14&gt;=8,"Leave",IF(L14&gt;0,"Half Day",IF(M14&gt;0,"Permission",IF(P14&gt;0,"Overtime","Regular"))))</x:f>
        <x:v>Overtime</x:v>
      </x:c>
    </x:row>
    <x:row r="15">
      <x:c r="A15" s="16" t="n">
        <x:v>46156</x:v>
      </x:c>
      <x:c r="B15" s="17" t="str">
        <x:v>Thursday</x:v>
      </x:c>
      <x:c r="C15" s="17" t="str">
        <x:v>EMP006</x:v>
      </x:c>
      <x:c r="D15" s="17" t="str">
        <x:v>Swathi</x:v>
      </x:c>
      <x:c r="E15" s="17" t="str">
        <x:v>Workload Balancing Dashboard</x:v>
      </x:c>
      <x:c r="F15" s="17" t="str">
        <x:v>Model Testing</x:v>
      </x:c>
      <x:c r="G15" s="18" t="n">
        <x:v>6</x:v>
      </x:c>
      <x:c r="H15" s="18" t="n">
        <x:v>6</x:v>
      </x:c>
      <x:c r="I15" s="18" t="n">
        <x:v>1</x:v>
      </x:c>
      <x:c r="J15" s="18" t="n">
        <x:v>0.5</x:v>
      </x:c>
      <x:c r="K15" s="18" t="n">
        <x:f>I15+J15</x:f>
        <x:v>1.5</x:v>
      </x:c>
      <x:c r="L15" s="18" t="n">
        <x:v>0</x:v>
      </x:c>
      <x:c r="M15" s="18" t="n">
        <x:v>0</x:v>
      </x:c>
      <x:c r="N15" s="18" t="n">
        <x:f>L15+M15</x:f>
        <x:v>0</x:v>
      </x:c>
      <x:c r="O15" s="18" t="n">
        <x:f>MAX(0,G15-I15-J15)</x:f>
        <x:v>4.5</x:v>
      </x:c>
      <x:c r="P15" s="18" t="n">
        <x:f>MAX(0,G15-8)</x:f>
        <x:v>0</x:v>
      </x:c>
      <x:c r="Q15" s="18" t="n">
        <x:f>ROUND(MIN(100,MAX(0,(O15/6.5)*100-N15*3+P15*4)),1)</x:f>
        <x:v>69.2</x:v>
      </x:c>
      <x:c r="R15" s="17" t="str">
        <x:f>IF(Q15&gt;=85,"High",IF(Q15&gt;=65,"Medium","Low"))</x:f>
        <x:v>Medium</x:v>
      </x:c>
      <x:c r="S15" s="17" t="str">
        <x:f>IF(L15&gt;=8,"Leave",IF(L15&gt;0,"Half Day",IF(M15&gt;0,"Permission",IF(P15&gt;0,"Overtime","Regular"))))</x:f>
        <x:v>Regular</x:v>
      </x:c>
    </x:row>
    <x:row r="16">
      <x:c r="A16" s="16" t="n">
        <x:v>46157</x:v>
      </x:c>
      <x:c r="B16" s="17" t="str">
        <x:v>Friday</x:v>
      </x:c>
      <x:c r="C16" s="17" t="str">
        <x:v>EMP007</x:v>
      </x:c>
      <x:c r="D16" s="17" t="str">
        <x:v>Nisha</x:v>
      </x:c>
      <x:c r="E16" s="17" t="str">
        <x:v>Task Time Prediction Model</x:v>
      </x:c>
      <x:c r="F16" s="17" t="str">
        <x:v>Data Cleaning</x:v>
      </x:c>
      <x:c r="G16" s="18" t="n">
        <x:v>7</x:v>
      </x:c>
      <x:c r="H16" s="18" t="n">
        <x:v>7</x:v>
      </x:c>
      <x:c r="I16" s="18" t="n">
        <x:v>1</x:v>
      </x:c>
      <x:c r="J16" s="18" t="n">
        <x:v>0.5</x:v>
      </x:c>
      <x:c r="K16" s="18" t="n">
        <x:f>I16+J16</x:f>
        <x:v>1.5</x:v>
      </x:c>
      <x:c r="L16" s="18" t="n">
        <x:v>0</x:v>
      </x:c>
      <x:c r="M16" s="18" t="n">
        <x:v>0</x:v>
      </x:c>
      <x:c r="N16" s="18" t="n">
        <x:f>L16+M16</x:f>
        <x:v>0</x:v>
      </x:c>
      <x:c r="O16" s="18" t="n">
        <x:f>MAX(0,G16-I16-J16)</x:f>
        <x:v>5.5</x:v>
      </x:c>
      <x:c r="P16" s="18" t="n">
        <x:f>MAX(0,G16-8)</x:f>
        <x:v>0</x:v>
      </x:c>
      <x:c r="Q16" s="18" t="n">
        <x:f>ROUND(MIN(100,MAX(0,(O16/6.5)*100-N16*3+P16*4)),1)</x:f>
        <x:v>84.6</x:v>
      </x:c>
      <x:c r="R16" s="17" t="str">
        <x:f>IF(Q16&gt;=85,"High",IF(Q16&gt;=65,"Medium","Low"))</x:f>
        <x:v>Medium</x:v>
      </x:c>
      <x:c r="S16" s="17" t="str">
        <x:f>IF(L16&gt;=8,"Leave",IF(L16&gt;0,"Half Day",IF(M16&gt;0,"Permission",IF(P16&gt;0,"Overtime","Regular"))))</x:f>
        <x:v>Regular</x:v>
      </x:c>
    </x:row>
    <x:row r="17">
      <x:c r="A17" s="16" t="n">
        <x:v>46158</x:v>
      </x:c>
      <x:c r="B17" s="17" t="str">
        <x:v>Saturday</x:v>
      </x:c>
      <x:c r="C17" s="17" t="str">
        <x:v>EMP008</x:v>
      </x:c>
      <x:c r="D17" s="17" t="str">
        <x:v>Vikram</x:v>
      </x:c>
      <x:c r="E17" s="17" t="str">
        <x:v>AI Employee Productivity Tracker</x:v>
      </x:c>
      <x:c r="F17" s="17" t="str">
        <x:v>Bug Fixing</x:v>
      </x:c>
      <x:c r="G17" s="18" t="n">
        <x:v>3</x:v>
      </x:c>
      <x:c r="H17" s="18" t="n">
        <x:v>3</x:v>
      </x:c>
      <x:c r="I17" s="18" t="n">
        <x:v>0.5</x:v>
      </x:c>
      <x:c r="J17" s="18" t="n">
        <x:v>0.25</x:v>
      </x:c>
      <x:c r="K17" s="18" t="n">
        <x:f>I17+J17</x:f>
        <x:v>0.75</x:v>
      </x:c>
      <x:c r="L17" s="18" t="n">
        <x:v>0</x:v>
      </x:c>
      <x:c r="M17" s="18" t="n">
        <x:v>0</x:v>
      </x:c>
      <x:c r="N17" s="18" t="n">
        <x:f>L17+M17</x:f>
        <x:v>0</x:v>
      </x:c>
      <x:c r="O17" s="18" t="n">
        <x:f>MAX(0,G17-I17-J17)</x:f>
        <x:v>2.25</x:v>
      </x:c>
      <x:c r="P17" s="18" t="n">
        <x:f>MAX(0,G17-8)</x:f>
        <x:v>0</x:v>
      </x:c>
      <x:c r="Q17" s="18" t="n">
        <x:f>ROUND(MIN(100,MAX(0,(O17/6.5)*100-N17*3+P17*4)),1)</x:f>
        <x:v>34.6</x:v>
      </x:c>
      <x:c r="R17" s="17" t="str">
        <x:f>IF(Q17&gt;=85,"High",IF(Q17&gt;=65,"Medium","Low"))</x:f>
        <x:v>Low</x:v>
      </x:c>
      <x:c r="S17" s="17" t="str">
        <x:f>IF(L17&gt;=8,"Leave",IF(L17&gt;0,"Half Day",IF(M17&gt;0,"Permission",IF(P17&gt;0,"Overtime","Regular"))))</x:f>
        <x:v>Regular</x:v>
      </x:c>
    </x:row>
    <x:row r="18">
      <x:c r="A18" s="16" t="n">
        <x:v>46159</x:v>
      </x:c>
      <x:c r="B18" s="17" t="str">
        <x:v>Sunday</x:v>
      </x:c>
      <x:c r="C18" s="17" t="str">
        <x:v>EMP001</x:v>
      </x:c>
      <x:c r="D18" s="17" t="str">
        <x:v>Aarav</x:v>
      </x:c>
      <x:c r="E18" s="17" t="str">
        <x:v>Project Cost Estimator</x:v>
      </x:c>
      <x:c r="F18" s="17" t="str">
        <x:v>Documentation</x:v>
      </x:c>
      <x:c r="G18" s="18" t="n">
        <x:v>2</x:v>
      </x:c>
      <x:c r="H18" s="18" t="n">
        <x:v>2</x:v>
      </x:c>
      <x:c r="I18" s="18" t="n">
        <x:v>0.5</x:v>
      </x:c>
      <x:c r="J18" s="18" t="n">
        <x:v>0.25</x:v>
      </x:c>
      <x:c r="K18" s="18" t="n">
        <x:f>I18+J18</x:f>
        <x:v>0.75</x:v>
      </x:c>
      <x:c r="L18" s="18" t="n">
        <x:v>0</x:v>
      </x:c>
      <x:c r="M18" s="18" t="n">
        <x:v>0</x:v>
      </x:c>
      <x:c r="N18" s="18" t="n">
        <x:f>L18+M18</x:f>
        <x:v>0</x:v>
      </x:c>
      <x:c r="O18" s="18" t="n">
        <x:f>MAX(0,G18-I18-J18)</x:f>
        <x:v>1.25</x:v>
      </x:c>
      <x:c r="P18" s="18" t="n">
        <x:f>MAX(0,G18-8)</x:f>
        <x:v>0</x:v>
      </x:c>
      <x:c r="Q18" s="18" t="n">
        <x:f>ROUND(MIN(100,MAX(0,(O18/6.5)*100-N18*3+P18*4)),1)</x:f>
        <x:v>19.2</x:v>
      </x:c>
      <x:c r="R18" s="17" t="str">
        <x:f>IF(Q18&gt;=85,"High",IF(Q18&gt;=65,"Medium","Low"))</x:f>
        <x:v>Low</x:v>
      </x:c>
      <x:c r="S18" s="17" t="str">
        <x:f>IF(L18&gt;=8,"Leave",IF(L18&gt;0,"Half Day",IF(M18&gt;0,"Permission",IF(P18&gt;0,"Overtime","Regular"))))</x:f>
        <x:v>Regular</x:v>
      </x:c>
    </x:row>
    <x:row r="19">
      <x:c r="A19" s="16" t="n">
        <x:v>46160</x:v>
      </x:c>
      <x:c r="B19" s="17" t="str">
        <x:v>Monday</x:v>
      </x:c>
      <x:c r="C19" s="17" t="str">
        <x:v>EMP002</x:v>
      </x:c>
      <x:c r="D19" s="17" t="str">
        <x:v>Diya</x:v>
      </x:c>
      <x:c r="E19" s="17" t="str">
        <x:v>AI Employee Productivity Tracker</x:v>
      </x:c>
      <x:c r="F19" s="17" t="str">
        <x:v>Model Training</x:v>
      </x:c>
      <x:c r="G19" s="18" t="n">
        <x:v>7</x:v>
      </x:c>
      <x:c r="H19" s="18" t="n">
        <x:v>7</x:v>
      </x:c>
      <x:c r="I19" s="18" t="n">
        <x:v>1</x:v>
      </x:c>
      <x:c r="J19" s="18" t="n">
        <x:v>0.5</x:v>
      </x:c>
      <x:c r="K19" s="18" t="n">
        <x:f>I19+J19</x:f>
        <x:v>1.5</x:v>
      </x:c>
      <x:c r="L19" s="18" t="n">
        <x:v>0</x:v>
      </x:c>
      <x:c r="M19" s="18" t="n">
        <x:v>0</x:v>
      </x:c>
      <x:c r="N19" s="18" t="n">
        <x:f>L19+M19</x:f>
        <x:v>0</x:v>
      </x:c>
      <x:c r="O19" s="18" t="n">
        <x:f>MAX(0,G19-I19-J19)</x:f>
        <x:v>5.5</x:v>
      </x:c>
      <x:c r="P19" s="18" t="n">
        <x:f>MAX(0,G19-8)</x:f>
        <x:v>0</x:v>
      </x:c>
      <x:c r="Q19" s="18" t="n">
        <x:f>ROUND(MIN(100,MAX(0,(O19/6.5)*100-N19*3+P19*4)),1)</x:f>
        <x:v>84.6</x:v>
      </x:c>
      <x:c r="R19" s="17" t="str">
        <x:f>IF(Q19&gt;=85,"High",IF(Q19&gt;=65,"Medium","Low"))</x:f>
        <x:v>Medium</x:v>
      </x:c>
      <x:c r="S19" s="17" t="str">
        <x:f>IF(L19&gt;=8,"Leave",IF(L19&gt;0,"Half Day",IF(M19&gt;0,"Permission",IF(P19&gt;0,"Overtime","Regular"))))</x:f>
        <x:v>Regular</x:v>
      </x:c>
    </x:row>
    <x:row r="20">
      <x:c r="A20" s="16" t="n">
        <x:v>46161</x:v>
      </x:c>
      <x:c r="B20" s="17" t="str">
        <x:v>Tuesday</x:v>
      </x:c>
      <x:c r="C20" s="17" t="str">
        <x:v>EMP003</x:v>
      </x:c>
      <x:c r="D20" s="17" t="str">
        <x:v>Kavin</x:v>
      </x:c>
      <x:c r="E20" s="17" t="str">
        <x:v>Project Cost Estimator</x:v>
      </x:c>
      <x:c r="F20" s="17" t="str">
        <x:v>Data Collection</x:v>
      </x:c>
      <x:c r="G20" s="18" t="n">
        <x:v>7.5</x:v>
      </x:c>
      <x:c r="H20" s="18" t="n">
        <x:v>7.5</x:v>
      </x:c>
      <x:c r="I20" s="18" t="n">
        <x:v>1</x:v>
      </x:c>
      <x:c r="J20" s="18" t="n">
        <x:v>0.5</x:v>
      </x:c>
      <x:c r="K20" s="18" t="n">
        <x:f>I20+J20</x:f>
        <x:v>1.5</x:v>
      </x:c>
      <x:c r="L20" s="18" t="n">
        <x:v>0</x:v>
      </x:c>
      <x:c r="M20" s="18" t="n">
        <x:v>0</x:v>
      </x:c>
      <x:c r="N20" s="18" t="n">
        <x:f>L20+M20</x:f>
        <x:v>0</x:v>
      </x:c>
      <x:c r="O20" s="18" t="n">
        <x:f>MAX(0,G20-I20-J20)</x:f>
        <x:v>6</x:v>
      </x:c>
      <x:c r="P20" s="18" t="n">
        <x:f>MAX(0,G20-8)</x:f>
        <x:v>0</x:v>
      </x:c>
      <x:c r="Q20" s="18" t="n">
        <x:f>ROUND(MIN(100,MAX(0,(O20/6.5)*100-N20*3+P20*4)),1)</x:f>
        <x:v>92.3</x:v>
      </x:c>
      <x:c r="R20" s="17" t="str">
        <x:f>IF(Q20&gt;=85,"High",IF(Q20&gt;=65,"Medium","Low"))</x:f>
        <x:v>High</x:v>
      </x:c>
      <x:c r="S20" s="17" t="str">
        <x:f>IF(L20&gt;=8,"Leave",IF(L20&gt;0,"Half Day",IF(M20&gt;0,"Permission",IF(P20&gt;0,"Overtime","Regular"))))</x:f>
        <x:v>Regular</x:v>
      </x:c>
    </x:row>
    <x:row r="21">
      <x:c r="A21" s="16" t="n">
        <x:v>46162</x:v>
      </x:c>
      <x:c r="B21" s="17" t="str">
        <x:v>Wednesday</x:v>
      </x:c>
      <x:c r="C21" s="17" t="str">
        <x:v>EMP004</x:v>
      </x:c>
      <x:c r="D21" s="17" t="str">
        <x:v>Meera</x:v>
      </x:c>
      <x:c r="E21" s="17" t="str">
        <x:v>AI Employee Productivity Tracker</x:v>
      </x:c>
      <x:c r="F21" s="17" t="str">
        <x:v>Client Review</x:v>
      </x:c>
      <x:c r="G21" s="18" t="n">
        <x:v>4</x:v>
      </x:c>
      <x:c r="H21" s="18" t="n">
        <x:v>4</x:v>
      </x:c>
      <x:c r="I21" s="18" t="n">
        <x:v>0.5</x:v>
      </x:c>
      <x:c r="J21" s="18" t="n">
        <x:v>0.25</x:v>
      </x:c>
      <x:c r="K21" s="18" t="n">
        <x:f>I21+J21</x:f>
        <x:v>0.75</x:v>
      </x:c>
      <x:c r="L21" s="18" t="n">
        <x:v>0</x:v>
      </x:c>
      <x:c r="M21" s="18" t="n">
        <x:v>2</x:v>
      </x:c>
      <x:c r="N21" s="18" t="n">
        <x:f>L21+M21</x:f>
        <x:v>2</x:v>
      </x:c>
      <x:c r="O21" s="18" t="n">
        <x:f>MAX(0,G21-I21-J21)</x:f>
        <x:v>3.25</x:v>
      </x:c>
      <x:c r="P21" s="18" t="n">
        <x:f>MAX(0,G21-8)</x:f>
        <x:v>0</x:v>
      </x:c>
      <x:c r="Q21" s="18" t="n">
        <x:f>ROUND(MIN(100,MAX(0,(O21/6.5)*100-N21*3+P21*4)),1)</x:f>
        <x:v>44</x:v>
      </x:c>
      <x:c r="R21" s="17" t="str">
        <x:f>IF(Q21&gt;=85,"High",IF(Q21&gt;=65,"Medium","Low"))</x:f>
        <x:v>Low</x:v>
      </x:c>
      <x:c r="S21" s="17" t="str">
        <x:f>IF(L21&gt;=8,"Leave",IF(L21&gt;0,"Half Day",IF(M21&gt;0,"Permission",IF(P21&gt;0,"Overtime","Regular"))))</x:f>
        <x:v>Permission</x:v>
      </x:c>
    </x:row>
    <x:row r="22">
      <x:c r="A22" s="16" t="n">
        <x:v>46143</x:v>
      </x:c>
      <x:c r="B22" s="17" t="str">
        <x:v>Friday</x:v>
      </x:c>
      <x:c r="C22" s="17" t="str">
        <x:v>EMP005</x:v>
      </x:c>
      <x:c r="D22" s="17" t="str">
        <x:v>Rahul</x:v>
      </x:c>
      <x:c r="E22" s="17" t="str">
        <x:v>Leave Pattern Analysis</x:v>
      </x:c>
      <x:c r="F22" s="17" t="str">
        <x:v>Dashboard Design</x:v>
      </x:c>
      <x:c r="G22" s="18" t="n">
        <x:v>7.5</x:v>
      </x:c>
      <x:c r="H22" s="18" t="n">
        <x:v>7.5</x:v>
      </x:c>
      <x:c r="I22" s="18" t="n">
        <x:v>1</x:v>
      </x:c>
      <x:c r="J22" s="18" t="n">
        <x:v>0.5</x:v>
      </x:c>
      <x:c r="K22" s="18" t="n">
        <x:f>I22+J22</x:f>
        <x:v>1.5</x:v>
      </x:c>
      <x:c r="L22" s="18" t="n">
        <x:v>0</x:v>
      </x:c>
      <x:c r="M22" s="18" t="n">
        <x:v>0</x:v>
      </x:c>
      <x:c r="N22" s="18" t="n">
        <x:f>L22+M22</x:f>
        <x:v>0</x:v>
      </x:c>
      <x:c r="O22" s="18" t="n">
        <x:f>MAX(0,G22-I22-J22)</x:f>
        <x:v>6</x:v>
      </x:c>
      <x:c r="P22" s="18" t="n">
        <x:f>MAX(0,G22-8)</x:f>
        <x:v>0</x:v>
      </x:c>
      <x:c r="Q22" s="18" t="n">
        <x:f>ROUND(MIN(100,MAX(0,(O22/6.5)*100-N22*3+P22*4)),1)</x:f>
        <x:v>92.3</x:v>
      </x:c>
      <x:c r="R22" s="17" t="str">
        <x:f>IF(Q22&gt;=85,"High",IF(Q22&gt;=65,"Medium","Low"))</x:f>
        <x:v>High</x:v>
      </x:c>
      <x:c r="S22" s="17" t="str">
        <x:f>IF(L22&gt;=8,"Leave",IF(L22&gt;0,"Half Day",IF(M22&gt;0,"Permission",IF(P22&gt;0,"Overtime","Regular"))))</x:f>
        <x:v>Regular</x:v>
      </x:c>
    </x:row>
    <x:row r="23">
      <x:c r="A23" s="16" t="n">
        <x:v>46144</x:v>
      </x:c>
      <x:c r="B23" s="17" t="str">
        <x:v>Saturday</x:v>
      </x:c>
      <x:c r="C23" s="17" t="str">
        <x:v>EMP006</x:v>
      </x:c>
      <x:c r="D23" s="17" t="str">
        <x:v>Swathi</x:v>
      </x:c>
      <x:c r="E23" s="17" t="str">
        <x:v>Smart Attendance Analytics</x:v>
      </x:c>
      <x:c r="F23" s="17" t="str">
        <x:v>Feature Engineering</x:v>
      </x:c>
      <x:c r="G23" s="18" t="n">
        <x:v>4</x:v>
      </x:c>
      <x:c r="H23" s="18" t="n">
        <x:v>4</x:v>
      </x:c>
      <x:c r="I23" s="18" t="n">
        <x:v>0.5</x:v>
      </x:c>
      <x:c r="J23" s="18" t="n">
        <x:v>0.25</x:v>
      </x:c>
      <x:c r="K23" s="18" t="n">
        <x:f>I23+J23</x:f>
        <x:v>0.75</x:v>
      </x:c>
      <x:c r="L23" s="18" t="n">
        <x:v>0</x:v>
      </x:c>
      <x:c r="M23" s="18" t="n">
        <x:v>0</x:v>
      </x:c>
      <x:c r="N23" s="18" t="n">
        <x:f>L23+M23</x:f>
        <x:v>0</x:v>
      </x:c>
      <x:c r="O23" s="18" t="n">
        <x:f>MAX(0,G23-I23-J23)</x:f>
        <x:v>3.25</x:v>
      </x:c>
      <x:c r="P23" s="18" t="n">
        <x:f>MAX(0,G23-8)</x:f>
        <x:v>0</x:v>
      </x:c>
      <x:c r="Q23" s="18" t="n">
        <x:f>ROUND(MIN(100,MAX(0,(O23/6.5)*100-N23*3+P23*4)),1)</x:f>
        <x:v>50</x:v>
      </x:c>
      <x:c r="R23" s="17" t="str">
        <x:f>IF(Q23&gt;=85,"High",IF(Q23&gt;=65,"Medium","Low"))</x:f>
        <x:v>Low</x:v>
      </x:c>
      <x:c r="S23" s="17" t="str">
        <x:f>IF(L23&gt;=8,"Leave",IF(L23&gt;0,"Half Day",IF(M23&gt;0,"Permission",IF(P23&gt;0,"Overtime","Regular"))))</x:f>
        <x:v>Regular</x:v>
      </x:c>
    </x:row>
    <x:row r="24">
      <x:c r="A24" s="16" t="n">
        <x:v>46145</x:v>
      </x:c>
      <x:c r="B24" s="17" t="str">
        <x:v>Sunday</x:v>
      </x:c>
      <x:c r="C24" s="17" t="str">
        <x:v>EMP007</x:v>
      </x:c>
      <x:c r="D24" s="17" t="str">
        <x:v>Nisha</x:v>
      </x:c>
      <x:c r="E24" s="17" t="str">
        <x:v>Leave Pattern Analysis</x:v>
      </x:c>
      <x:c r="F24" s="17" t="str">
        <x:v>Deployment</x:v>
      </x:c>
      <x:c r="G24" s="18" t="n">
        <x:v>2</x:v>
      </x:c>
      <x:c r="H24" s="18" t="n">
        <x:v>2</x:v>
      </x:c>
      <x:c r="I24" s="18" t="n">
        <x:v>0.5</x:v>
      </x:c>
      <x:c r="J24" s="18" t="n">
        <x:v>0.25</x:v>
      </x:c>
      <x:c r="K24" s="18" t="n">
        <x:f>I24+J24</x:f>
        <x:v>0.75</x:v>
      </x:c>
      <x:c r="L24" s="18" t="n">
        <x:v>0</x:v>
      </x:c>
      <x:c r="M24" s="18" t="n">
        <x:v>0</x:v>
      </x:c>
      <x:c r="N24" s="18" t="n">
        <x:f>L24+M24</x:f>
        <x:v>0</x:v>
      </x:c>
      <x:c r="O24" s="18" t="n">
        <x:f>MAX(0,G24-I24-J24)</x:f>
        <x:v>1.25</x:v>
      </x:c>
      <x:c r="P24" s="18" t="n">
        <x:f>MAX(0,G24-8)</x:f>
        <x:v>0</x:v>
      </x:c>
      <x:c r="Q24" s="18" t="n">
        <x:f>ROUND(MIN(100,MAX(0,(O24/6.5)*100-N24*3+P24*4)),1)</x:f>
        <x:v>19.2</x:v>
      </x:c>
      <x:c r="R24" s="17" t="str">
        <x:f>IF(Q24&gt;=85,"High",IF(Q24&gt;=65,"Medium","Low"))</x:f>
        <x:v>Low</x:v>
      </x:c>
      <x:c r="S24" s="17" t="str">
        <x:f>IF(L24&gt;=8,"Leave",IF(L24&gt;0,"Half Day",IF(M24&gt;0,"Permission",IF(P24&gt;0,"Overtime","Regular"))))</x:f>
        <x:v>Regular</x:v>
      </x:c>
    </x:row>
    <x:row r="25">
      <x:c r="A25" s="16" t="n">
        <x:v>46146</x:v>
      </x:c>
      <x:c r="B25" s="17" t="str">
        <x:v>Monday</x:v>
      </x:c>
      <x:c r="C25" s="17" t="str">
        <x:v>EMP008</x:v>
      </x:c>
      <x:c r="D25" s="17" t="str">
        <x:v>Vikram</x:v>
      </x:c>
      <x:c r="E25" s="17" t="str">
        <x:v>Smart Attendance Analytics</x:v>
      </x:c>
      <x:c r="F25" s="17" t="str">
        <x:v>Documentation</x:v>
      </x:c>
      <x:c r="G25" s="18" t="n">
        <x:v>9</x:v>
      </x:c>
      <x:c r="H25" s="18" t="n">
        <x:v>8</x:v>
      </x:c>
      <x:c r="I25" s="18" t="n">
        <x:v>1</x:v>
      </x:c>
      <x:c r="J25" s="18" t="n">
        <x:v>0.5</x:v>
      </x:c>
      <x:c r="K25" s="18" t="n">
        <x:f>I25+J25</x:f>
        <x:v>1.5</x:v>
      </x:c>
      <x:c r="L25" s="18" t="n">
        <x:v>0</x:v>
      </x:c>
      <x:c r="M25" s="18" t="n">
        <x:v>0</x:v>
      </x:c>
      <x:c r="N25" s="18" t="n">
        <x:f>L25+M25</x:f>
        <x:v>0</x:v>
      </x:c>
      <x:c r="O25" s="18" t="n">
        <x:f>MAX(0,G25-I25-J25)</x:f>
        <x:v>7.5</x:v>
      </x:c>
      <x:c r="P25" s="18" t="n">
        <x:f>MAX(0,G25-8)</x:f>
        <x:v>1</x:v>
      </x:c>
      <x:c r="Q25" s="18" t="n">
        <x:f>ROUND(MIN(100,MAX(0,(O25/6.5)*100-N25*3+P25*4)),1)</x:f>
        <x:v>100</x:v>
      </x:c>
      <x:c r="R25" s="17" t="str">
        <x:f>IF(Q25&gt;=85,"High",IF(Q25&gt;=65,"Medium","Low"))</x:f>
        <x:v>High</x:v>
      </x:c>
      <x:c r="S25" s="17" t="str">
        <x:f>IF(L25&gt;=8,"Leave",IF(L25&gt;0,"Half Day",IF(M25&gt;0,"Permission",IF(P25&gt;0,"Overtime","Regular"))))</x:f>
        <x:v>Overtime</x:v>
      </x:c>
    </x:row>
    <x:row r="26">
      <x:c r="A26" s="16" t="n">
        <x:v>46147</x:v>
      </x:c>
      <x:c r="B26" s="17" t="str">
        <x:v>Tuesday</x:v>
      </x:c>
      <x:c r="C26" s="17" t="str">
        <x:v>EMP001</x:v>
      </x:c>
      <x:c r="D26" s="17" t="str">
        <x:v>Aarav</x:v>
      </x:c>
      <x:c r="E26" s="17" t="str">
        <x:v>Leave Pattern Analysis</x:v>
      </x:c>
      <x:c r="F26" s="17" t="str">
        <x:v>Model Testing</x:v>
      </x:c>
      <x:c r="G26" s="18" t="n">
        <x:v>6</x:v>
      </x:c>
      <x:c r="H26" s="18" t="n">
        <x:v>6</x:v>
      </x:c>
      <x:c r="I26" s="18" t="n">
        <x:v>1</x:v>
      </x:c>
      <x:c r="J26" s="18" t="n">
        <x:v>0.5</x:v>
      </x:c>
      <x:c r="K26" s="18" t="n">
        <x:f>I26+J26</x:f>
        <x:v>1.5</x:v>
      </x:c>
      <x:c r="L26" s="18" t="n">
        <x:v>0</x:v>
      </x:c>
      <x:c r="M26" s="18" t="n">
        <x:v>0</x:v>
      </x:c>
      <x:c r="N26" s="18" t="n">
        <x:f>L26+M26</x:f>
        <x:v>0</x:v>
      </x:c>
      <x:c r="O26" s="18" t="n">
        <x:f>MAX(0,G26-I26-J26)</x:f>
        <x:v>4.5</x:v>
      </x:c>
      <x:c r="P26" s="18" t="n">
        <x:f>MAX(0,G26-8)</x:f>
        <x:v>0</x:v>
      </x:c>
      <x:c r="Q26" s="18" t="n">
        <x:f>ROUND(MIN(100,MAX(0,(O26/6.5)*100-N26*3+P26*4)),1)</x:f>
        <x:v>69.2</x:v>
      </x:c>
      <x:c r="R26" s="17" t="str">
        <x:f>IF(Q26&gt;=85,"High",IF(Q26&gt;=65,"Medium","Low"))</x:f>
        <x:v>Medium</x:v>
      </x:c>
      <x:c r="S26" s="17" t="str">
        <x:f>IF(L26&gt;=8,"Leave",IF(L26&gt;0,"Half Day",IF(M26&gt;0,"Permission",IF(P26&gt;0,"Overtime","Regular"))))</x:f>
        <x:v>Regular</x:v>
      </x:c>
    </x:row>
    <x:row r="27">
      <x:c r="A27" s="16" t="n">
        <x:v>46148</x:v>
      </x:c>
      <x:c r="B27" s="17" t="str">
        <x:v>Wednesday</x:v>
      </x:c>
      <x:c r="C27" s="17" t="str">
        <x:v>EMP002</x:v>
      </x:c>
      <x:c r="D27" s="17" t="str">
        <x:v>Diya</x:v>
      </x:c>
      <x:c r="E27" s="17" t="str">
        <x:v>Task Time Prediction Model</x:v>
      </x:c>
      <x:c r="F27" s="17" t="str">
        <x:v>Data Cleaning</x:v>
      </x:c>
      <x:c r="G27" s="18" t="n">
        <x:v>8</x:v>
      </x:c>
      <x:c r="H27" s="18" t="n">
        <x:v>8</x:v>
      </x:c>
      <x:c r="I27" s="18" t="n">
        <x:v>1</x:v>
      </x:c>
      <x:c r="J27" s="18" t="n">
        <x:v>0.5</x:v>
      </x:c>
      <x:c r="K27" s="18" t="n">
        <x:f>I27+J27</x:f>
        <x:v>1.5</x:v>
      </x:c>
      <x:c r="L27" s="18" t="n">
        <x:v>0</x:v>
      </x:c>
      <x:c r="M27" s="18" t="n">
        <x:v>0</x:v>
      </x:c>
      <x:c r="N27" s="18" t="n">
        <x:f>L27+M27</x:f>
        <x:v>0</x:v>
      </x:c>
      <x:c r="O27" s="18" t="n">
        <x:f>MAX(0,G27-I27-J27)</x:f>
        <x:v>6.5</x:v>
      </x:c>
      <x:c r="P27" s="18" t="n">
        <x:f>MAX(0,G27-8)</x:f>
        <x:v>0</x:v>
      </x:c>
      <x:c r="Q27" s="18" t="n">
        <x:f>ROUND(MIN(100,MAX(0,(O27/6.5)*100-N27*3+P27*4)),1)</x:f>
        <x:v>100</x:v>
      </x:c>
      <x:c r="R27" s="17" t="str">
        <x:f>IF(Q27&gt;=85,"High",IF(Q27&gt;=65,"Medium","Low"))</x:f>
        <x:v>High</x:v>
      </x:c>
      <x:c r="S27" s="17" t="str">
        <x:f>IF(L27&gt;=8,"Leave",IF(L27&gt;0,"Half Day",IF(M27&gt;0,"Permission",IF(P27&gt;0,"Overtime","Regular"))))</x:f>
        <x:v>Regular</x:v>
      </x:c>
    </x:row>
    <x:row r="28">
      <x:c r="A28" s="16" t="n">
        <x:v>46149</x:v>
      </x:c>
      <x:c r="B28" s="17" t="str">
        <x:v>Thursday</x:v>
      </x:c>
      <x:c r="C28" s="17" t="str">
        <x:v>EMP003</x:v>
      </x:c>
      <x:c r="D28" s="17" t="str">
        <x:v>Kavin</x:v>
      </x:c>
      <x:c r="E28" s="17" t="str">
        <x:v>Workload Balancing Dashboard</x:v>
      </x:c>
      <x:c r="F28" s="17" t="str">
        <x:v>Bug Fixing</x:v>
      </x:c>
      <x:c r="G28" s="18" t="n">
        <x:v>0</x:v>
      </x:c>
      <x:c r="H28" s="18" t="n">
        <x:v>0</x:v>
      </x:c>
      <x:c r="I28" s="18" t="n">
        <x:v>0</x:v>
      </x:c>
      <x:c r="J28" s="18" t="n">
        <x:v>0</x:v>
      </x:c>
      <x:c r="K28" s="18" t="n">
        <x:f>I28+J28</x:f>
        <x:v>0</x:v>
      </x:c>
      <x:c r="L28" s="18" t="n">
        <x:v>8</x:v>
      </x:c>
      <x:c r="M28" s="18" t="n">
        <x:v>0</x:v>
      </x:c>
      <x:c r="N28" s="18" t="n">
        <x:f>L28+M28</x:f>
        <x:v>8</x:v>
      </x:c>
      <x:c r="O28" s="18" t="n">
        <x:f>MAX(0,G28-I28-J28)</x:f>
        <x:v>0</x:v>
      </x:c>
      <x:c r="P28" s="18" t="n">
        <x:f>MAX(0,G28-8)</x:f>
        <x:v>0</x:v>
      </x:c>
      <x:c r="Q28" s="18" t="n">
        <x:f>ROUND(MIN(100,MAX(0,(O28/6.5)*100-N28*3+P28*4)),1)</x:f>
        <x:v>0</x:v>
      </x:c>
      <x:c r="R28" s="17" t="str">
        <x:f>IF(Q28&gt;=85,"High",IF(Q28&gt;=65,"Medium","Low"))</x:f>
        <x:v>Low</x:v>
      </x:c>
      <x:c r="S28" s="17" t="str">
        <x:f>IF(L28&gt;=8,"Leave",IF(L28&gt;0,"Half Day",IF(M28&gt;0,"Permission",IF(P28&gt;0,"Overtime","Regular"))))</x:f>
        <x:v>Leave</x:v>
      </x:c>
    </x:row>
    <x:row r="29">
      <x:c r="A29" s="16" t="n">
        <x:v>46150</x:v>
      </x:c>
      <x:c r="B29" s="17" t="str">
        <x:v>Friday</x:v>
      </x:c>
      <x:c r="C29" s="17" t="str">
        <x:v>EMP004</x:v>
      </x:c>
      <x:c r="D29" s="17" t="str">
        <x:v>Meera</x:v>
      </x:c>
      <x:c r="E29" s="17" t="str">
        <x:v>Task Time Prediction Model</x:v>
      </x:c>
      <x:c r="F29" s="17" t="str">
        <x:v>Dashboard Design</x:v>
      </x:c>
      <x:c r="G29" s="18" t="n">
        <x:v>8.5</x:v>
      </x:c>
      <x:c r="H29" s="18" t="n">
        <x:v>8</x:v>
      </x:c>
      <x:c r="I29" s="18" t="n">
        <x:v>1</x:v>
      </x:c>
      <x:c r="J29" s="18" t="n">
        <x:v>0.5</x:v>
      </x:c>
      <x:c r="K29" s="18" t="n">
        <x:f>I29+J29</x:f>
        <x:v>1.5</x:v>
      </x:c>
      <x:c r="L29" s="18" t="n">
        <x:v>0</x:v>
      </x:c>
      <x:c r="M29" s="18" t="n">
        <x:v>0</x:v>
      </x:c>
      <x:c r="N29" s="18" t="n">
        <x:f>L29+M29</x:f>
        <x:v>0</x:v>
      </x:c>
      <x:c r="O29" s="18" t="n">
        <x:f>MAX(0,G29-I29-J29)</x:f>
        <x:v>7</x:v>
      </x:c>
      <x:c r="P29" s="18" t="n">
        <x:f>MAX(0,G29-8)</x:f>
        <x:v>0.5</x:v>
      </x:c>
      <x:c r="Q29" s="18" t="n">
        <x:f>ROUND(MIN(100,MAX(0,(O29/6.5)*100-N29*3+P29*4)),1)</x:f>
        <x:v>100</x:v>
      </x:c>
      <x:c r="R29" s="17" t="str">
        <x:f>IF(Q29&gt;=85,"High",IF(Q29&gt;=65,"Medium","Low"))</x:f>
        <x:v>High</x:v>
      </x:c>
      <x:c r="S29" s="17" t="str">
        <x:f>IF(L29&gt;=8,"Leave",IF(L29&gt;0,"Half Day",IF(M29&gt;0,"Permission",IF(P29&gt;0,"Overtime","Regular"))))</x:f>
        <x:v>Overtime</x:v>
      </x:c>
    </x:row>
    <x:row r="30">
      <x:c r="A30" s="16" t="n">
        <x:v>46151</x:v>
      </x:c>
      <x:c r="B30" s="17" t="str">
        <x:v>Saturday</x:v>
      </x:c>
      <x:c r="C30" s="17" t="str">
        <x:v>EMP005</x:v>
      </x:c>
      <x:c r="D30" s="17" t="str">
        <x:v>Rahul</x:v>
      </x:c>
      <x:c r="E30" s="17" t="str">
        <x:v>Workload Balancing Dashboard</x:v>
      </x:c>
      <x:c r="F30" s="17" t="str">
        <x:v>Model Training</x:v>
      </x:c>
      <x:c r="G30" s="18" t="n">
        <x:v>2</x:v>
      </x:c>
      <x:c r="H30" s="18" t="n">
        <x:v>2</x:v>
      </x:c>
      <x:c r="I30" s="18" t="n">
        <x:v>0.5</x:v>
      </x:c>
      <x:c r="J30" s="18" t="n">
        <x:v>0.25</x:v>
      </x:c>
      <x:c r="K30" s="18" t="n">
        <x:f>I30+J30</x:f>
        <x:v>0.75</x:v>
      </x:c>
      <x:c r="L30" s="18" t="n">
        <x:v>0</x:v>
      </x:c>
      <x:c r="M30" s="18" t="n">
        <x:v>0</x:v>
      </x:c>
      <x:c r="N30" s="18" t="n">
        <x:f>L30+M30</x:f>
        <x:v>0</x:v>
      </x:c>
      <x:c r="O30" s="18" t="n">
        <x:f>MAX(0,G30-I30-J30)</x:f>
        <x:v>1.25</x:v>
      </x:c>
      <x:c r="P30" s="18" t="n">
        <x:f>MAX(0,G30-8)</x:f>
        <x:v>0</x:v>
      </x:c>
      <x:c r="Q30" s="18" t="n">
        <x:f>ROUND(MIN(100,MAX(0,(O30/6.5)*100-N30*3+P30*4)),1)</x:f>
        <x:v>19.2</x:v>
      </x:c>
      <x:c r="R30" s="17" t="str">
        <x:f>IF(Q30&gt;=85,"High",IF(Q30&gt;=65,"Medium","Low"))</x:f>
        <x:v>Low</x:v>
      </x:c>
      <x:c r="S30" s="17" t="str">
        <x:f>IF(L30&gt;=8,"Leave",IF(L30&gt;0,"Half Day",IF(M30&gt;0,"Permission",IF(P30&gt;0,"Overtime","Regular"))))</x:f>
        <x:v>Regular</x:v>
      </x:c>
    </x:row>
    <x:row r="31">
      <x:c r="A31" s="16" t="n">
        <x:v>46152</x:v>
      </x:c>
      <x:c r="B31" s="17" t="str">
        <x:v>Sunday</x:v>
      </x:c>
      <x:c r="C31" s="17" t="str">
        <x:v>EMP006</x:v>
      </x:c>
      <x:c r="D31" s="17" t="str">
        <x:v>Swathi</x:v>
      </x:c>
      <x:c r="E31" s="17" t="str">
        <x:v>Task Time Prediction Model</x:v>
      </x:c>
      <x:c r="F31" s="17" t="str">
        <x:v>Data Collection</x:v>
      </x:c>
      <x:c r="G31" s="18" t="n">
        <x:v>4</x:v>
      </x:c>
      <x:c r="H31" s="18" t="n">
        <x:v>4</x:v>
      </x:c>
      <x:c r="I31" s="18" t="n">
        <x:v>0.5</x:v>
      </x:c>
      <x:c r="J31" s="18" t="n">
        <x:v>0.25</x:v>
      </x:c>
      <x:c r="K31" s="18" t="n">
        <x:f>I31+J31</x:f>
        <x:v>0.75</x:v>
      </x:c>
      <x:c r="L31" s="18" t="n">
        <x:v>0</x:v>
      </x:c>
      <x:c r="M31" s="18" t="n">
        <x:v>0</x:v>
      </x:c>
      <x:c r="N31" s="18" t="n">
        <x:f>L31+M31</x:f>
        <x:v>0</x:v>
      </x:c>
      <x:c r="O31" s="18" t="n">
        <x:f>MAX(0,G31-I31-J31)</x:f>
        <x:v>3.25</x:v>
      </x:c>
      <x:c r="P31" s="18" t="n">
        <x:f>MAX(0,G31-8)</x:f>
        <x:v>0</x:v>
      </x:c>
      <x:c r="Q31" s="18" t="n">
        <x:f>ROUND(MIN(100,MAX(0,(O31/6.5)*100-N31*3+P31*4)),1)</x:f>
        <x:v>50</x:v>
      </x:c>
      <x:c r="R31" s="17" t="str">
        <x:f>IF(Q31&gt;=85,"High",IF(Q31&gt;=65,"Medium","Low"))</x:f>
        <x:v>Low</x:v>
      </x:c>
      <x:c r="S31" s="17" t="str">
        <x:f>IF(L31&gt;=8,"Leave",IF(L31&gt;0,"Half Day",IF(M31&gt;0,"Permission",IF(P31&gt;0,"Overtime","Regular"))))</x:f>
        <x:v>Regular</x:v>
      </x:c>
    </x:row>
    <x:row r="32">
      <x:c r="A32" s="16" t="n">
        <x:v>46153</x:v>
      </x:c>
      <x:c r="B32" s="17" t="str">
        <x:v>Monday</x:v>
      </x:c>
      <x:c r="C32" s="17" t="str">
        <x:v>EMP007</x:v>
      </x:c>
      <x:c r="D32" s="17" t="str">
        <x:v>Nisha</x:v>
      </x:c>
      <x:c r="E32" s="17" t="str">
        <x:v>AI Employee Productivity Tracker</x:v>
      </x:c>
      <x:c r="F32" s="17" t="str">
        <x:v>Client Review</x:v>
      </x:c>
      <x:c r="G32" s="18" t="n">
        <x:v>6</x:v>
      </x:c>
      <x:c r="H32" s="18" t="n">
        <x:v>6</x:v>
      </x:c>
      <x:c r="I32" s="18" t="n">
        <x:v>1</x:v>
      </x:c>
      <x:c r="J32" s="18" t="n">
        <x:v>0.5</x:v>
      </x:c>
      <x:c r="K32" s="18" t="n">
        <x:f>I32+J32</x:f>
        <x:v>1.5</x:v>
      </x:c>
      <x:c r="L32" s="18" t="n">
        <x:v>0</x:v>
      </x:c>
      <x:c r="M32" s="18" t="n">
        <x:v>0</x:v>
      </x:c>
      <x:c r="N32" s="18" t="n">
        <x:f>L32+M32</x:f>
        <x:v>0</x:v>
      </x:c>
      <x:c r="O32" s="18" t="n">
        <x:f>MAX(0,G32-I32-J32)</x:f>
        <x:v>4.5</x:v>
      </x:c>
      <x:c r="P32" s="18" t="n">
        <x:f>MAX(0,G32-8)</x:f>
        <x:v>0</x:v>
      </x:c>
      <x:c r="Q32" s="18" t="n">
        <x:f>ROUND(MIN(100,MAX(0,(O32/6.5)*100-N32*3+P32*4)),1)</x:f>
        <x:v>69.2</x:v>
      </x:c>
      <x:c r="R32" s="17" t="str">
        <x:f>IF(Q32&gt;=85,"High",IF(Q32&gt;=65,"Medium","Low"))</x:f>
        <x:v>Medium</x:v>
      </x:c>
      <x:c r="S32" s="17" t="str">
        <x:f>IF(L32&gt;=8,"Leave",IF(L32&gt;0,"Half Day",IF(M32&gt;0,"Permission",IF(P32&gt;0,"Overtime","Regular"))))</x:f>
        <x:v>Regular</x:v>
      </x:c>
    </x:row>
    <x:row r="33">
      <x:c r="A33" s="16" t="n">
        <x:v>46154</x:v>
      </x:c>
      <x:c r="B33" s="17" t="str">
        <x:v>Tuesday</x:v>
      </x:c>
      <x:c r="C33" s="17" t="str">
        <x:v>EMP008</x:v>
      </x:c>
      <x:c r="D33" s="17" t="str">
        <x:v>Vikram</x:v>
      </x:c>
      <x:c r="E33" s="17" t="str">
        <x:v>Project Cost Estimator</x:v>
      </x:c>
      <x:c r="F33" s="17" t="str">
        <x:v>Model Testing</x:v>
      </x:c>
      <x:c r="G33" s="18" t="n">
        <x:v>4</x:v>
      </x:c>
      <x:c r="H33" s="18" t="n">
        <x:v>4</x:v>
      </x:c>
      <x:c r="I33" s="18" t="n">
        <x:v>0.5</x:v>
      </x:c>
      <x:c r="J33" s="18" t="n">
        <x:v>0.25</x:v>
      </x:c>
      <x:c r="K33" s="18" t="n">
        <x:f>I33+J33</x:f>
        <x:v>0.75</x:v>
      </x:c>
      <x:c r="L33" s="18" t="n">
        <x:v>4</x:v>
      </x:c>
      <x:c r="M33" s="18" t="n">
        <x:v>0</x:v>
      </x:c>
      <x:c r="N33" s="18" t="n">
        <x:f>L33+M33</x:f>
        <x:v>4</x:v>
      </x:c>
      <x:c r="O33" s="18" t="n">
        <x:f>MAX(0,G33-I33-J33)</x:f>
        <x:v>3.25</x:v>
      </x:c>
      <x:c r="P33" s="18" t="n">
        <x:f>MAX(0,G33-8)</x:f>
        <x:v>0</x:v>
      </x:c>
      <x:c r="Q33" s="18" t="n">
        <x:f>ROUND(MIN(100,MAX(0,(O33/6.5)*100-N33*3+P33*4)),1)</x:f>
        <x:v>38</x:v>
      </x:c>
      <x:c r="R33" s="17" t="str">
        <x:f>IF(Q33&gt;=85,"High",IF(Q33&gt;=65,"Medium","Low"))</x:f>
        <x:v>Low</x:v>
      </x:c>
      <x:c r="S33" s="17" t="str">
        <x:f>IF(L33&gt;=8,"Leave",IF(L33&gt;0,"Half Day",IF(M33&gt;0,"Permission",IF(P33&gt;0,"Overtime","Regular"))))</x:f>
        <x:v>Half Day</x:v>
      </x:c>
    </x:row>
    <x:row r="34">
      <x:c r="A34" s="16" t="n">
        <x:v>46155</x:v>
      </x:c>
      <x:c r="B34" s="17" t="str">
        <x:v>Wednesday</x:v>
      </x:c>
      <x:c r="C34" s="17" t="str">
        <x:v>EMP001</x:v>
      </x:c>
      <x:c r="D34" s="17" t="str">
        <x:v>Aarav</x:v>
      </x:c>
      <x:c r="E34" s="17" t="str">
        <x:v>AI Employee Productivity Tracker</x:v>
      </x:c>
      <x:c r="F34" s="17" t="str">
        <x:v>Feature Engineering</x:v>
      </x:c>
      <x:c r="G34" s="18" t="n">
        <x:v>6</x:v>
      </x:c>
      <x:c r="H34" s="18" t="n">
        <x:v>6</x:v>
      </x:c>
      <x:c r="I34" s="18" t="n">
        <x:v>1</x:v>
      </x:c>
      <x:c r="J34" s="18" t="n">
        <x:v>0.5</x:v>
      </x:c>
      <x:c r="K34" s="18" t="n">
        <x:f>I34+J34</x:f>
        <x:v>1.5</x:v>
      </x:c>
      <x:c r="L34" s="18" t="n">
        <x:v>0</x:v>
      </x:c>
      <x:c r="M34" s="18" t="n">
        <x:v>0</x:v>
      </x:c>
      <x:c r="N34" s="18" t="n">
        <x:f>L34+M34</x:f>
        <x:v>0</x:v>
      </x:c>
      <x:c r="O34" s="18" t="n">
        <x:f>MAX(0,G34-I34-J34)</x:f>
        <x:v>4.5</x:v>
      </x:c>
      <x:c r="P34" s="18" t="n">
        <x:f>MAX(0,G34-8)</x:f>
        <x:v>0</x:v>
      </x:c>
      <x:c r="Q34" s="18" t="n">
        <x:f>ROUND(MIN(100,MAX(0,(O34/6.5)*100-N34*3+P34*4)),1)</x:f>
        <x:v>69.2</x:v>
      </x:c>
      <x:c r="R34" s="17" t="str">
        <x:f>IF(Q34&gt;=85,"High",IF(Q34&gt;=65,"Medium","Low"))</x:f>
        <x:v>Medium</x:v>
      </x:c>
      <x:c r="S34" s="17" t="str">
        <x:f>IF(L34&gt;=8,"Leave",IF(L34&gt;0,"Half Day",IF(M34&gt;0,"Permission",IF(P34&gt;0,"Overtime","Regular"))))</x:f>
        <x:v>Regular</x:v>
      </x:c>
    </x:row>
    <x:row r="35">
      <x:c r="A35" s="16" t="n">
        <x:v>46156</x:v>
      </x:c>
      <x:c r="B35" s="17" t="str">
        <x:v>Thursday</x:v>
      </x:c>
      <x:c r="C35" s="17" t="str">
        <x:v>EMP002</x:v>
      </x:c>
      <x:c r="D35" s="17" t="str">
        <x:v>Diya</x:v>
      </x:c>
      <x:c r="E35" s="17" t="str">
        <x:v>Project Cost Estimator</x:v>
      </x:c>
      <x:c r="F35" s="17" t="str">
        <x:v>Deployment</x:v>
      </x:c>
      <x:c r="G35" s="18" t="n">
        <x:v>6</x:v>
      </x:c>
      <x:c r="H35" s="18" t="n">
        <x:v>6</x:v>
      </x:c>
      <x:c r="I35" s="18" t="n">
        <x:v>1</x:v>
      </x:c>
      <x:c r="J35" s="18" t="n">
        <x:v>0.5</x:v>
      </x:c>
      <x:c r="K35" s="18" t="n">
        <x:f>I35+J35</x:f>
        <x:v>1.5</x:v>
      </x:c>
      <x:c r="L35" s="18" t="n">
        <x:v>0</x:v>
      </x:c>
      <x:c r="M35" s="18" t="n">
        <x:v>0</x:v>
      </x:c>
      <x:c r="N35" s="18" t="n">
        <x:f>L35+M35</x:f>
        <x:v>0</x:v>
      </x:c>
      <x:c r="O35" s="18" t="n">
        <x:f>MAX(0,G35-I35-J35)</x:f>
        <x:v>4.5</x:v>
      </x:c>
      <x:c r="P35" s="18" t="n">
        <x:f>MAX(0,G35-8)</x:f>
        <x:v>0</x:v>
      </x:c>
      <x:c r="Q35" s="18" t="n">
        <x:f>ROUND(MIN(100,MAX(0,(O35/6.5)*100-N35*3+P35*4)),1)</x:f>
        <x:v>69.2</x:v>
      </x:c>
      <x:c r="R35" s="17" t="str">
        <x:f>IF(Q35&gt;=85,"High",IF(Q35&gt;=65,"Medium","Low"))</x:f>
        <x:v>Medium</x:v>
      </x:c>
      <x:c r="S35" s="17" t="str">
        <x:f>IF(L35&gt;=8,"Leave",IF(L35&gt;0,"Half Day",IF(M35&gt;0,"Permission",IF(P35&gt;0,"Overtime","Regular"))))</x:f>
        <x:v>Regular</x:v>
      </x:c>
    </x:row>
    <x:row r="36">
      <x:c r="A36" s="16" t="n">
        <x:v>46157</x:v>
      </x:c>
      <x:c r="B36" s="17" t="str">
        <x:v>Friday</x:v>
      </x:c>
      <x:c r="C36" s="17" t="str">
        <x:v>EMP003</x:v>
      </x:c>
      <x:c r="D36" s="17" t="str">
        <x:v>Kavin</x:v>
      </x:c>
      <x:c r="E36" s="17" t="str">
        <x:v>AI Employee Productivity Tracker</x:v>
      </x:c>
      <x:c r="F36" s="17" t="str">
        <x:v>Documentation</x:v>
      </x:c>
      <x:c r="G36" s="18" t="n">
        <x:v>8</x:v>
      </x:c>
      <x:c r="H36" s="18" t="n">
        <x:v>8</x:v>
      </x:c>
      <x:c r="I36" s="18" t="n">
        <x:v>1</x:v>
      </x:c>
      <x:c r="J36" s="18" t="n">
        <x:v>0.5</x:v>
      </x:c>
      <x:c r="K36" s="18" t="n">
        <x:f>I36+J36</x:f>
        <x:v>1.5</x:v>
      </x:c>
      <x:c r="L36" s="18" t="n">
        <x:v>0</x:v>
      </x:c>
      <x:c r="M36" s="18" t="n">
        <x:v>0</x:v>
      </x:c>
      <x:c r="N36" s="18" t="n">
        <x:f>L36+M36</x:f>
        <x:v>0</x:v>
      </x:c>
      <x:c r="O36" s="18" t="n">
        <x:f>MAX(0,G36-I36-J36)</x:f>
        <x:v>6.5</x:v>
      </x:c>
      <x:c r="P36" s="18" t="n">
        <x:f>MAX(0,G36-8)</x:f>
        <x:v>0</x:v>
      </x:c>
      <x:c r="Q36" s="18" t="n">
        <x:f>ROUND(MIN(100,MAX(0,(O36/6.5)*100-N36*3+P36*4)),1)</x:f>
        <x:v>100</x:v>
      </x:c>
      <x:c r="R36" s="17" t="str">
        <x:f>IF(Q36&gt;=85,"High",IF(Q36&gt;=65,"Medium","Low"))</x:f>
        <x:v>High</x:v>
      </x:c>
      <x:c r="S36" s="17" t="str">
        <x:f>IF(L36&gt;=8,"Leave",IF(L36&gt;0,"Half Day",IF(M36&gt;0,"Permission",IF(P36&gt;0,"Overtime","Regular"))))</x:f>
        <x:v>Regular</x:v>
      </x:c>
    </x:row>
    <x:row r="37">
      <x:c r="A37" s="16" t="n">
        <x:v>46158</x:v>
      </x:c>
      <x:c r="B37" s="17" t="str">
        <x:v>Saturday</x:v>
      </x:c>
      <x:c r="C37" s="17" t="str">
        <x:v>EMP004</x:v>
      </x:c>
      <x:c r="D37" s="17" t="str">
        <x:v>Meera</x:v>
      </x:c>
      <x:c r="E37" s="17" t="str">
        <x:v>Leave Pattern Analysis</x:v>
      </x:c>
      <x:c r="F37" s="17" t="str">
        <x:v>Model Training</x:v>
      </x:c>
      <x:c r="G37" s="18" t="n">
        <x:v>2</x:v>
      </x:c>
      <x:c r="H37" s="18" t="n">
        <x:v>2</x:v>
      </x:c>
      <x:c r="I37" s="18" t="n">
        <x:v>0.5</x:v>
      </x:c>
      <x:c r="J37" s="18" t="n">
        <x:v>0.25</x:v>
      </x:c>
      <x:c r="K37" s="18" t="n">
        <x:f>I37+J37</x:f>
        <x:v>0.75</x:v>
      </x:c>
      <x:c r="L37" s="18" t="n">
        <x:v>0</x:v>
      </x:c>
      <x:c r="M37" s="18" t="n">
        <x:v>0</x:v>
      </x:c>
      <x:c r="N37" s="18" t="n">
        <x:f>L37+M37</x:f>
        <x:v>0</x:v>
      </x:c>
      <x:c r="O37" s="18" t="n">
        <x:f>MAX(0,G37-I37-J37)</x:f>
        <x:v>1.25</x:v>
      </x:c>
      <x:c r="P37" s="18" t="n">
        <x:f>MAX(0,G37-8)</x:f>
        <x:v>0</x:v>
      </x:c>
      <x:c r="Q37" s="18" t="n">
        <x:f>ROUND(MIN(100,MAX(0,(O37/6.5)*100-N37*3+P37*4)),1)</x:f>
        <x:v>19.2</x:v>
      </x:c>
      <x:c r="R37" s="17" t="str">
        <x:f>IF(Q37&gt;=85,"High",IF(Q37&gt;=65,"Medium","Low"))</x:f>
        <x:v>Low</x:v>
      </x:c>
      <x:c r="S37" s="17" t="str">
        <x:f>IF(L37&gt;=8,"Leave",IF(L37&gt;0,"Half Day",IF(M37&gt;0,"Permission",IF(P37&gt;0,"Overtime","Regular"))))</x:f>
        <x:v>Regular</x:v>
      </x:c>
    </x:row>
    <x:row r="38">
      <x:c r="A38" s="16" t="n">
        <x:v>46159</x:v>
      </x:c>
      <x:c r="B38" s="17" t="str">
        <x:v>Sunday</x:v>
      </x:c>
      <x:c r="C38" s="17" t="str">
        <x:v>EMP005</x:v>
      </x:c>
      <x:c r="D38" s="17" t="str">
        <x:v>Rahul</x:v>
      </x:c>
      <x:c r="E38" s="17" t="str">
        <x:v>Smart Attendance Analytics</x:v>
      </x:c>
      <x:c r="F38" s="17" t="str">
        <x:v>Data Cleaning</x:v>
      </x:c>
      <x:c r="G38" s="18" t="n">
        <x:v>0</x:v>
      </x:c>
      <x:c r="H38" s="18" t="n">
        <x:v>0</x:v>
      </x:c>
      <x:c r="I38" s="18" t="n">
        <x:v>0</x:v>
      </x:c>
      <x:c r="J38" s="18" t="n">
        <x:v>0</x:v>
      </x:c>
      <x:c r="K38" s="18" t="n">
        <x:f>I38+J38</x:f>
        <x:v>0</x:v>
      </x:c>
      <x:c r="L38" s="18" t="n">
        <x:v>0</x:v>
      </x:c>
      <x:c r="M38" s="18" t="n">
        <x:v>0</x:v>
      </x:c>
      <x:c r="N38" s="18" t="n">
        <x:f>L38+M38</x:f>
        <x:v>0</x:v>
      </x:c>
      <x:c r="O38" s="18" t="n">
        <x:f>MAX(0,G38-I38-J38)</x:f>
        <x:v>0</x:v>
      </x:c>
      <x:c r="P38" s="18" t="n">
        <x:f>MAX(0,G38-8)</x:f>
        <x:v>0</x:v>
      </x:c>
      <x:c r="Q38" s="18" t="n">
        <x:f>ROUND(MIN(100,MAX(0,(O38/6.5)*100-N38*3+P38*4)),1)</x:f>
        <x:v>0</x:v>
      </x:c>
      <x:c r="R38" s="17" t="str">
        <x:f>IF(Q38&gt;=85,"High",IF(Q38&gt;=65,"Medium","Low"))</x:f>
        <x:v>Low</x:v>
      </x:c>
      <x:c r="S38" s="17" t="str">
        <x:f>IF(L38&gt;=8,"Leave",IF(L38&gt;0,"Half Day",IF(M38&gt;0,"Permission",IF(P38&gt;0,"Overtime","Regular"))))</x:f>
        <x:v>Regular</x:v>
      </x:c>
    </x:row>
    <x:row r="39">
      <x:c r="A39" s="16" t="n">
        <x:v>46160</x:v>
      </x:c>
      <x:c r="B39" s="17" t="str">
        <x:v>Monday</x:v>
      </x:c>
      <x:c r="C39" s="17" t="str">
        <x:v>EMP006</x:v>
      </x:c>
      <x:c r="D39" s="17" t="str">
        <x:v>Swathi</x:v>
      </x:c>
      <x:c r="E39" s="17" t="str">
        <x:v>Leave Pattern Analysis</x:v>
      </x:c>
      <x:c r="F39" s="17" t="str">
        <x:v>Bug Fixing</x:v>
      </x:c>
      <x:c r="G39" s="18" t="n">
        <x:v>7</x:v>
      </x:c>
      <x:c r="H39" s="18" t="n">
        <x:v>7</x:v>
      </x:c>
      <x:c r="I39" s="18" t="n">
        <x:v>1</x:v>
      </x:c>
      <x:c r="J39" s="18" t="n">
        <x:v>0.5</x:v>
      </x:c>
      <x:c r="K39" s="18" t="n">
        <x:f>I39+J39</x:f>
        <x:v>1.5</x:v>
      </x:c>
      <x:c r="L39" s="18" t="n">
        <x:v>0</x:v>
      </x:c>
      <x:c r="M39" s="18" t="n">
        <x:v>0</x:v>
      </x:c>
      <x:c r="N39" s="18" t="n">
        <x:f>L39+M39</x:f>
        <x:v>0</x:v>
      </x:c>
      <x:c r="O39" s="18" t="n">
        <x:f>MAX(0,G39-I39-J39)</x:f>
        <x:v>5.5</x:v>
      </x:c>
      <x:c r="P39" s="18" t="n">
        <x:f>MAX(0,G39-8)</x:f>
        <x:v>0</x:v>
      </x:c>
      <x:c r="Q39" s="18" t="n">
        <x:f>ROUND(MIN(100,MAX(0,(O39/6.5)*100-N39*3+P39*4)),1)</x:f>
        <x:v>84.6</x:v>
      </x:c>
      <x:c r="R39" s="17" t="str">
        <x:f>IF(Q39&gt;=85,"High",IF(Q39&gt;=65,"Medium","Low"))</x:f>
        <x:v>Medium</x:v>
      </x:c>
      <x:c r="S39" s="17" t="str">
        <x:f>IF(L39&gt;=8,"Leave",IF(L39&gt;0,"Half Day",IF(M39&gt;0,"Permission",IF(P39&gt;0,"Overtime","Regular"))))</x:f>
        <x:v>Regular</x:v>
      </x:c>
    </x:row>
    <x:row r="40">
      <x:c r="A40" s="16" t="n">
        <x:v>46161</x:v>
      </x:c>
      <x:c r="B40" s="17" t="str">
        <x:v>Tuesday</x:v>
      </x:c>
      <x:c r="C40" s="17" t="str">
        <x:v>EMP007</x:v>
      </x:c>
      <x:c r="D40" s="17" t="str">
        <x:v>Nisha</x:v>
      </x:c>
      <x:c r="E40" s="17" t="str">
        <x:v>Smart Attendance Analytics</x:v>
      </x:c>
      <x:c r="F40" s="17" t="str">
        <x:v>Dashboard Design</x:v>
      </x:c>
      <x:c r="G40" s="18" t="n">
        <x:v>9</x:v>
      </x:c>
      <x:c r="H40" s="18" t="n">
        <x:v>8</x:v>
      </x:c>
      <x:c r="I40" s="18" t="n">
        <x:v>1</x:v>
      </x:c>
      <x:c r="J40" s="18" t="n">
        <x:v>0.5</x:v>
      </x:c>
      <x:c r="K40" s="18" t="n">
        <x:f>I40+J40</x:f>
        <x:v>1.5</x:v>
      </x:c>
      <x:c r="L40" s="18" t="n">
        <x:v>0</x:v>
      </x:c>
      <x:c r="M40" s="18" t="n">
        <x:v>0</x:v>
      </x:c>
      <x:c r="N40" s="18" t="n">
        <x:f>L40+M40</x:f>
        <x:v>0</x:v>
      </x:c>
      <x:c r="O40" s="18" t="n">
        <x:f>MAX(0,G40-I40-J40)</x:f>
        <x:v>7.5</x:v>
      </x:c>
      <x:c r="P40" s="18" t="n">
        <x:f>MAX(0,G40-8)</x:f>
        <x:v>1</x:v>
      </x:c>
      <x:c r="Q40" s="18" t="n">
        <x:f>ROUND(MIN(100,MAX(0,(O40/6.5)*100-N40*3+P40*4)),1)</x:f>
        <x:v>100</x:v>
      </x:c>
      <x:c r="R40" s="17" t="str">
        <x:f>IF(Q40&gt;=85,"High",IF(Q40&gt;=65,"Medium","Low"))</x:f>
        <x:v>High</x:v>
      </x:c>
      <x:c r="S40" s="17" t="str">
        <x:f>IF(L40&gt;=8,"Leave",IF(L40&gt;0,"Half Day",IF(M40&gt;0,"Permission",IF(P40&gt;0,"Overtime","Regular"))))</x:f>
        <x:v>Overtime</x:v>
      </x:c>
    </x:row>
    <x:row r="41">
      <x:c r="A41" s="16" t="n">
        <x:v>46162</x:v>
      </x:c>
      <x:c r="B41" s="17" t="str">
        <x:v>Wednesday</x:v>
      </x:c>
      <x:c r="C41" s="17" t="str">
        <x:v>EMP008</x:v>
      </x:c>
      <x:c r="D41" s="17" t="str">
        <x:v>Vikram</x:v>
      </x:c>
      <x:c r="E41" s="17" t="str">
        <x:v>Leave Pattern Analysis</x:v>
      </x:c>
      <x:c r="F41" s="17" t="str">
        <x:v>Feature Engineering</x:v>
      </x:c>
      <x:c r="G41" s="18" t="n">
        <x:v>9</x:v>
      </x:c>
      <x:c r="H41" s="18" t="n">
        <x:v>8</x:v>
      </x:c>
      <x:c r="I41" s="18" t="n">
        <x:v>1</x:v>
      </x:c>
      <x:c r="J41" s="18" t="n">
        <x:v>0.5</x:v>
      </x:c>
      <x:c r="K41" s="18" t="n">
        <x:f>I41+J41</x:f>
        <x:v>1.5</x:v>
      </x:c>
      <x:c r="L41" s="18" t="n">
        <x:v>0</x:v>
      </x:c>
      <x:c r="M41" s="18" t="n">
        <x:v>0</x:v>
      </x:c>
      <x:c r="N41" s="18" t="n">
        <x:f>L41+M41</x:f>
        <x:v>0</x:v>
      </x:c>
      <x:c r="O41" s="18" t="n">
        <x:f>MAX(0,G41-I41-J41)</x:f>
        <x:v>7.5</x:v>
      </x:c>
      <x:c r="P41" s="18" t="n">
        <x:f>MAX(0,G41-8)</x:f>
        <x:v>1</x:v>
      </x:c>
      <x:c r="Q41" s="18" t="n">
        <x:f>ROUND(MIN(100,MAX(0,(O41/6.5)*100-N41*3+P41*4)),1)</x:f>
        <x:v>100</x:v>
      </x:c>
      <x:c r="R41" s="17" t="str">
        <x:f>IF(Q41&gt;=85,"High",IF(Q41&gt;=65,"Medium","Low"))</x:f>
        <x:v>High</x:v>
      </x:c>
      <x:c r="S41" s="17" t="str">
        <x:f>IF(L41&gt;=8,"Leave",IF(L41&gt;0,"Half Day",IF(M41&gt;0,"Permission",IF(P41&gt;0,"Overtime","Regular"))))</x:f>
        <x:v>Overtime</x:v>
      </x:c>
    </x:row>
    <x:row r="42">
      <x:c r="A42" s="16" t="n">
        <x:v>46143</x:v>
      </x:c>
      <x:c r="B42" s="17" t="str">
        <x:v>Friday</x:v>
      </x:c>
      <x:c r="C42" s="17" t="str">
        <x:v>EMP001</x:v>
      </x:c>
      <x:c r="D42" s="17" t="str">
        <x:v>Aarav</x:v>
      </x:c>
      <x:c r="E42" s="17" t="str">
        <x:v>Task Time Prediction Model</x:v>
      </x:c>
      <x:c r="F42" s="17" t="str">
        <x:v>Data Collection</x:v>
      </x:c>
      <x:c r="G42" s="18" t="n">
        <x:v>4</x:v>
      </x:c>
      <x:c r="H42" s="18" t="n">
        <x:v>4</x:v>
      </x:c>
      <x:c r="I42" s="18" t="n">
        <x:v>0.5</x:v>
      </x:c>
      <x:c r="J42" s="18" t="n">
        <x:v>0.25</x:v>
      </x:c>
      <x:c r="K42" s="18" t="n">
        <x:f>I42+J42</x:f>
        <x:v>0.75</x:v>
      </x:c>
      <x:c r="L42" s="18" t="n">
        <x:v>4</x:v>
      </x:c>
      <x:c r="M42" s="18" t="n">
        <x:v>0</x:v>
      </x:c>
      <x:c r="N42" s="18" t="n">
        <x:f>L42+M42</x:f>
        <x:v>4</x:v>
      </x:c>
      <x:c r="O42" s="18" t="n">
        <x:f>MAX(0,G42-I42-J42)</x:f>
        <x:v>3.25</x:v>
      </x:c>
      <x:c r="P42" s="18" t="n">
        <x:f>MAX(0,G42-8)</x:f>
        <x:v>0</x:v>
      </x:c>
      <x:c r="Q42" s="18" t="n">
        <x:f>ROUND(MIN(100,MAX(0,(O42/6.5)*100-N42*3+P42*4)),1)</x:f>
        <x:v>38</x:v>
      </x:c>
      <x:c r="R42" s="17" t="str">
        <x:f>IF(Q42&gt;=85,"High",IF(Q42&gt;=65,"Medium","Low"))</x:f>
        <x:v>Low</x:v>
      </x:c>
      <x:c r="S42" s="17" t="str">
        <x:f>IF(L42&gt;=8,"Leave",IF(L42&gt;0,"Half Day",IF(M42&gt;0,"Permission",IF(P42&gt;0,"Overtime","Regular"))))</x:f>
        <x:v>Half Day</x:v>
      </x:c>
    </x:row>
    <x:row r="43">
      <x:c r="A43" s="16" t="n">
        <x:v>46144</x:v>
      </x:c>
      <x:c r="B43" s="17" t="str">
        <x:v>Saturday</x:v>
      </x:c>
      <x:c r="C43" s="17" t="str">
        <x:v>EMP002</x:v>
      </x:c>
      <x:c r="D43" s="17" t="str">
        <x:v>Diya</x:v>
      </x:c>
      <x:c r="E43" s="17" t="str">
        <x:v>Workload Balancing Dashboard</x:v>
      </x:c>
      <x:c r="F43" s="17" t="str">
        <x:v>Client Review</x:v>
      </x:c>
      <x:c r="G43" s="18" t="n">
        <x:v>4</x:v>
      </x:c>
      <x:c r="H43" s="18" t="n">
        <x:v>4</x:v>
      </x:c>
      <x:c r="I43" s="18" t="n">
        <x:v>0.5</x:v>
      </x:c>
      <x:c r="J43" s="18" t="n">
        <x:v>0.25</x:v>
      </x:c>
      <x:c r="K43" s="18" t="n">
        <x:f>I43+J43</x:f>
        <x:v>0.75</x:v>
      </x:c>
      <x:c r="L43" s="18" t="n">
        <x:v>0</x:v>
      </x:c>
      <x:c r="M43" s="18" t="n">
        <x:v>0</x:v>
      </x:c>
      <x:c r="N43" s="18" t="n">
        <x:f>L43+M43</x:f>
        <x:v>0</x:v>
      </x:c>
      <x:c r="O43" s="18" t="n">
        <x:f>MAX(0,G43-I43-J43)</x:f>
        <x:v>3.25</x:v>
      </x:c>
      <x:c r="P43" s="18" t="n">
        <x:f>MAX(0,G43-8)</x:f>
        <x:v>0</x:v>
      </x:c>
      <x:c r="Q43" s="18" t="n">
        <x:f>ROUND(MIN(100,MAX(0,(O43/6.5)*100-N43*3+P43*4)),1)</x:f>
        <x:v>50</x:v>
      </x:c>
      <x:c r="R43" s="17" t="str">
        <x:f>IF(Q43&gt;=85,"High",IF(Q43&gt;=65,"Medium","Low"))</x:f>
        <x:v>Low</x:v>
      </x:c>
      <x:c r="S43" s="17" t="str">
        <x:f>IF(L43&gt;=8,"Leave",IF(L43&gt;0,"Half Day",IF(M43&gt;0,"Permission",IF(P43&gt;0,"Overtime","Regular"))))</x:f>
        <x:v>Regular</x:v>
      </x:c>
    </x:row>
    <x:row r="44">
      <x:c r="A44" s="16" t="n">
        <x:v>46145</x:v>
      </x:c>
      <x:c r="B44" s="17" t="str">
        <x:v>Sunday</x:v>
      </x:c>
      <x:c r="C44" s="17" t="str">
        <x:v>EMP003</x:v>
      </x:c>
      <x:c r="D44" s="17" t="str">
        <x:v>Kavin</x:v>
      </x:c>
      <x:c r="E44" s="17" t="str">
        <x:v>Task Time Prediction Model</x:v>
      </x:c>
      <x:c r="F44" s="17" t="str">
        <x:v>Model Testing</x:v>
      </x:c>
      <x:c r="G44" s="18" t="n">
        <x:v>0</x:v>
      </x:c>
      <x:c r="H44" s="18" t="n">
        <x:v>0</x:v>
      </x:c>
      <x:c r="I44" s="18" t="n">
        <x:v>0</x:v>
      </x:c>
      <x:c r="J44" s="18" t="n">
        <x:v>0</x:v>
      </x:c>
      <x:c r="K44" s="18" t="n">
        <x:f>I44+J44</x:f>
        <x:v>0</x:v>
      </x:c>
      <x:c r="L44" s="18" t="n">
        <x:v>0</x:v>
      </x:c>
      <x:c r="M44" s="18" t="n">
        <x:v>0</x:v>
      </x:c>
      <x:c r="N44" s="18" t="n">
        <x:f>L44+M44</x:f>
        <x:v>0</x:v>
      </x:c>
      <x:c r="O44" s="18" t="n">
        <x:f>MAX(0,G44-I44-J44)</x:f>
        <x:v>0</x:v>
      </x:c>
      <x:c r="P44" s="18" t="n">
        <x:f>MAX(0,G44-8)</x:f>
        <x:v>0</x:v>
      </x:c>
      <x:c r="Q44" s="18" t="n">
        <x:f>ROUND(MIN(100,MAX(0,(O44/6.5)*100-N44*3+P44*4)),1)</x:f>
        <x:v>0</x:v>
      </x:c>
      <x:c r="R44" s="17" t="str">
        <x:f>IF(Q44&gt;=85,"High",IF(Q44&gt;=65,"Medium","Low"))</x:f>
        <x:v>Low</x:v>
      </x:c>
      <x:c r="S44" s="17" t="str">
        <x:f>IF(L44&gt;=8,"Leave",IF(L44&gt;0,"Half Day",IF(M44&gt;0,"Permission",IF(P44&gt;0,"Overtime","Regular"))))</x:f>
        <x:v>Regular</x:v>
      </x:c>
    </x:row>
    <x:row r="45">
      <x:c r="A45" s="16" t="n">
        <x:v>46146</x:v>
      </x:c>
      <x:c r="B45" s="17" t="str">
        <x:v>Monday</x:v>
      </x:c>
      <x:c r="C45" s="17" t="str">
        <x:v>EMP004</x:v>
      </x:c>
      <x:c r="D45" s="17" t="str">
        <x:v>Meera</x:v>
      </x:c>
      <x:c r="E45" s="17" t="str">
        <x:v>Workload Balancing Dashboard</x:v>
      </x:c>
      <x:c r="F45" s="17" t="str">
        <x:v>Data Cleaning</x:v>
      </x:c>
      <x:c r="G45" s="18" t="n">
        <x:v>5</x:v>
      </x:c>
      <x:c r="H45" s="18" t="n">
        <x:v>5</x:v>
      </x:c>
      <x:c r="I45" s="18" t="n">
        <x:v>1</x:v>
      </x:c>
      <x:c r="J45" s="18" t="n">
        <x:v>0.25</x:v>
      </x:c>
      <x:c r="K45" s="18" t="n">
        <x:f>I45+J45</x:f>
        <x:v>1.25</x:v>
      </x:c>
      <x:c r="L45" s="18" t="n">
        <x:v>0</x:v>
      </x:c>
      <x:c r="M45" s="18" t="n">
        <x:v>2</x:v>
      </x:c>
      <x:c r="N45" s="18" t="n">
        <x:f>L45+M45</x:f>
        <x:v>2</x:v>
      </x:c>
      <x:c r="O45" s="18" t="n">
        <x:f>MAX(0,G45-I45-J45)</x:f>
        <x:v>3.75</x:v>
      </x:c>
      <x:c r="P45" s="18" t="n">
        <x:f>MAX(0,G45-8)</x:f>
        <x:v>0</x:v>
      </x:c>
      <x:c r="Q45" s="18" t="n">
        <x:f>ROUND(MIN(100,MAX(0,(O45/6.5)*100-N45*3+P45*4)),1)</x:f>
        <x:v>51.7</x:v>
      </x:c>
      <x:c r="R45" s="17" t="str">
        <x:f>IF(Q45&gt;=85,"High",IF(Q45&gt;=65,"Medium","Low"))</x:f>
        <x:v>Low</x:v>
      </x:c>
      <x:c r="S45" s="17" t="str">
        <x:f>IF(L45&gt;=8,"Leave",IF(L45&gt;0,"Half Day",IF(M45&gt;0,"Permission",IF(P45&gt;0,"Overtime","Regular"))))</x:f>
        <x:v>Permission</x:v>
      </x:c>
    </x:row>
    <x:row r="46">
      <x:c r="A46" s="16" t="n">
        <x:v>46147</x:v>
      </x:c>
      <x:c r="B46" s="17" t="str">
        <x:v>Tuesday</x:v>
      </x:c>
      <x:c r="C46" s="17" t="str">
        <x:v>EMP005</x:v>
      </x:c>
      <x:c r="D46" s="17" t="str">
        <x:v>Rahul</x:v>
      </x:c>
      <x:c r="E46" s="17" t="str">
        <x:v>Task Time Prediction Model</x:v>
      </x:c>
      <x:c r="F46" s="17" t="str">
        <x:v>Deployment</x:v>
      </x:c>
      <x:c r="G46" s="18" t="n">
        <x:v>9</x:v>
      </x:c>
      <x:c r="H46" s="18" t="n">
        <x:v>8</x:v>
      </x:c>
      <x:c r="I46" s="18" t="n">
        <x:v>1</x:v>
      </x:c>
      <x:c r="J46" s="18" t="n">
        <x:v>0.5</x:v>
      </x:c>
      <x:c r="K46" s="18" t="n">
        <x:f>I46+J46</x:f>
        <x:v>1.5</x:v>
      </x:c>
      <x:c r="L46" s="18" t="n">
        <x:v>0</x:v>
      </x:c>
      <x:c r="M46" s="18" t="n">
        <x:v>0</x:v>
      </x:c>
      <x:c r="N46" s="18" t="n">
        <x:f>L46+M46</x:f>
        <x:v>0</x:v>
      </x:c>
      <x:c r="O46" s="18" t="n">
        <x:f>MAX(0,G46-I46-J46)</x:f>
        <x:v>7.5</x:v>
      </x:c>
      <x:c r="P46" s="18" t="n">
        <x:f>MAX(0,G46-8)</x:f>
        <x:v>1</x:v>
      </x:c>
      <x:c r="Q46" s="18" t="n">
        <x:f>ROUND(MIN(100,MAX(0,(O46/6.5)*100-N46*3+P46*4)),1)</x:f>
        <x:v>100</x:v>
      </x:c>
      <x:c r="R46" s="17" t="str">
        <x:f>IF(Q46&gt;=85,"High",IF(Q46&gt;=65,"Medium","Low"))</x:f>
        <x:v>High</x:v>
      </x:c>
      <x:c r="S46" s="17" t="str">
        <x:f>IF(L46&gt;=8,"Leave",IF(L46&gt;0,"Half Day",IF(M46&gt;0,"Permission",IF(P46&gt;0,"Overtime","Regular"))))</x:f>
        <x:v>Overtime</x:v>
      </x:c>
    </x:row>
    <x:row r="47">
      <x:c r="A47" s="16" t="n">
        <x:v>46148</x:v>
      </x:c>
      <x:c r="B47" s="17" t="str">
        <x:v>Wednesday</x:v>
      </x:c>
      <x:c r="C47" s="17" t="str">
        <x:v>EMP006</x:v>
      </x:c>
      <x:c r="D47" s="17" t="str">
        <x:v>Swathi</x:v>
      </x:c>
      <x:c r="E47" s="17" t="str">
        <x:v>AI Employee Productivity Tracker</x:v>
      </x:c>
      <x:c r="F47" s="17" t="str">
        <x:v>Documentation</x:v>
      </x:c>
      <x:c r="G47" s="18" t="n">
        <x:v>7</x:v>
      </x:c>
      <x:c r="H47" s="18" t="n">
        <x:v>7</x:v>
      </x:c>
      <x:c r="I47" s="18" t="n">
        <x:v>1</x:v>
      </x:c>
      <x:c r="J47" s="18" t="n">
        <x:v>0.5</x:v>
      </x:c>
      <x:c r="K47" s="18" t="n">
        <x:f>I47+J47</x:f>
        <x:v>1.5</x:v>
      </x:c>
      <x:c r="L47" s="18" t="n">
        <x:v>0</x:v>
      </x:c>
      <x:c r="M47" s="18" t="n">
        <x:v>0</x:v>
      </x:c>
      <x:c r="N47" s="18" t="n">
        <x:f>L47+M47</x:f>
        <x:v>0</x:v>
      </x:c>
      <x:c r="O47" s="18" t="n">
        <x:f>MAX(0,G47-I47-J47)</x:f>
        <x:v>5.5</x:v>
      </x:c>
      <x:c r="P47" s="18" t="n">
        <x:f>MAX(0,G47-8)</x:f>
        <x:v>0</x:v>
      </x:c>
      <x:c r="Q47" s="18" t="n">
        <x:f>ROUND(MIN(100,MAX(0,(O47/6.5)*100-N47*3+P47*4)),1)</x:f>
        <x:v>84.6</x:v>
      </x:c>
      <x:c r="R47" s="17" t="str">
        <x:f>IF(Q47&gt;=85,"High",IF(Q47&gt;=65,"Medium","Low"))</x:f>
        <x:v>Medium</x:v>
      </x:c>
      <x:c r="S47" s="17" t="str">
        <x:f>IF(L47&gt;=8,"Leave",IF(L47&gt;0,"Half Day",IF(M47&gt;0,"Permission",IF(P47&gt;0,"Overtime","Regular"))))</x:f>
        <x:v>Regular</x:v>
      </x:c>
    </x:row>
    <x:row r="48">
      <x:c r="A48" s="16" t="n">
        <x:v>46149</x:v>
      </x:c>
      <x:c r="B48" s="17" t="str">
        <x:v>Thursday</x:v>
      </x:c>
      <x:c r="C48" s="17" t="str">
        <x:v>EMP007</x:v>
      </x:c>
      <x:c r="D48" s="17" t="str">
        <x:v>Nisha</x:v>
      </x:c>
      <x:c r="E48" s="17" t="str">
        <x:v>Project Cost Estimator</x:v>
      </x:c>
      <x:c r="F48" s="17" t="str">
        <x:v>Model Training</x:v>
      </x:c>
      <x:c r="G48" s="18" t="n">
        <x:v>6</x:v>
      </x:c>
      <x:c r="H48" s="18" t="n">
        <x:v>6</x:v>
      </x:c>
      <x:c r="I48" s="18" t="n">
        <x:v>1</x:v>
      </x:c>
      <x:c r="J48" s="18" t="n">
        <x:v>0.5</x:v>
      </x:c>
      <x:c r="K48" s="18" t="n">
        <x:f>I48+J48</x:f>
        <x:v>1.5</x:v>
      </x:c>
      <x:c r="L48" s="18" t="n">
        <x:v>0</x:v>
      </x:c>
      <x:c r="M48" s="18" t="n">
        <x:v>0</x:v>
      </x:c>
      <x:c r="N48" s="18" t="n">
        <x:f>L48+M48</x:f>
        <x:v>0</x:v>
      </x:c>
      <x:c r="O48" s="18" t="n">
        <x:f>MAX(0,G48-I48-J48)</x:f>
        <x:v>4.5</x:v>
      </x:c>
      <x:c r="P48" s="18" t="n">
        <x:f>MAX(0,G48-8)</x:f>
        <x:v>0</x:v>
      </x:c>
      <x:c r="Q48" s="18" t="n">
        <x:f>ROUND(MIN(100,MAX(0,(O48/6.5)*100-N48*3+P48*4)),1)</x:f>
        <x:v>69.2</x:v>
      </x:c>
      <x:c r="R48" s="17" t="str">
        <x:f>IF(Q48&gt;=85,"High",IF(Q48&gt;=65,"Medium","Low"))</x:f>
        <x:v>Medium</x:v>
      </x:c>
      <x:c r="S48" s="17" t="str">
        <x:f>IF(L48&gt;=8,"Leave",IF(L48&gt;0,"Half Day",IF(M48&gt;0,"Permission",IF(P48&gt;0,"Overtime","Regular"))))</x:f>
        <x:v>Regular</x:v>
      </x:c>
    </x:row>
    <x:row r="49">
      <x:c r="A49" s="16" t="n">
        <x:v>46150</x:v>
      </x:c>
      <x:c r="B49" s="17" t="str">
        <x:v>Friday</x:v>
      </x:c>
      <x:c r="C49" s="17" t="str">
        <x:v>EMP008</x:v>
      </x:c>
      <x:c r="D49" s="17" t="str">
        <x:v>Vikram</x:v>
      </x:c>
      <x:c r="E49" s="17" t="str">
        <x:v>AI Employee Productivity Tracker</x:v>
      </x:c>
      <x:c r="F49" s="17" t="str">
        <x:v>Data Collection</x:v>
      </x:c>
      <x:c r="G49" s="18" t="n">
        <x:v>6</x:v>
      </x:c>
      <x:c r="H49" s="18" t="n">
        <x:v>6</x:v>
      </x:c>
      <x:c r="I49" s="18" t="n">
        <x:v>1</x:v>
      </x:c>
      <x:c r="J49" s="18" t="n">
        <x:v>0.5</x:v>
      </x:c>
      <x:c r="K49" s="18" t="n">
        <x:f>I49+J49</x:f>
        <x:v>1.5</x:v>
      </x:c>
      <x:c r="L49" s="18" t="n">
        <x:v>0</x:v>
      </x:c>
      <x:c r="M49" s="18" t="n">
        <x:v>0</x:v>
      </x:c>
      <x:c r="N49" s="18" t="n">
        <x:f>L49+M49</x:f>
        <x:v>0</x:v>
      </x:c>
      <x:c r="O49" s="18" t="n">
        <x:f>MAX(0,G49-I49-J49)</x:f>
        <x:v>4.5</x:v>
      </x:c>
      <x:c r="P49" s="18" t="n">
        <x:f>MAX(0,G49-8)</x:f>
        <x:v>0</x:v>
      </x:c>
      <x:c r="Q49" s="18" t="n">
        <x:f>ROUND(MIN(100,MAX(0,(O49/6.5)*100-N49*3+P49*4)),1)</x:f>
        <x:v>69.2</x:v>
      </x:c>
      <x:c r="R49" s="17" t="str">
        <x:f>IF(Q49&gt;=85,"High",IF(Q49&gt;=65,"Medium","Low"))</x:f>
        <x:v>Medium</x:v>
      </x:c>
      <x:c r="S49" s="17" t="str">
        <x:f>IF(L49&gt;=8,"Leave",IF(L49&gt;0,"Half Day",IF(M49&gt;0,"Permission",IF(P49&gt;0,"Overtime","Regular"))))</x:f>
        <x:v>Regular</x:v>
      </x:c>
    </x:row>
    <x:row r="50">
      <x:c r="A50" s="16" t="n">
        <x:v>46151</x:v>
      </x:c>
      <x:c r="B50" s="17" t="str">
        <x:v>Saturday</x:v>
      </x:c>
      <x:c r="C50" s="17" t="str">
        <x:v>EMP001</x:v>
      </x:c>
      <x:c r="D50" s="17" t="str">
        <x:v>Aarav</x:v>
      </x:c>
      <x:c r="E50" s="17" t="str">
        <x:v>Project Cost Estimator</x:v>
      </x:c>
      <x:c r="F50" s="17" t="str">
        <x:v>Bug Fixing</x:v>
      </x:c>
      <x:c r="G50" s="18" t="n">
        <x:v>2</x:v>
      </x:c>
      <x:c r="H50" s="18" t="n">
        <x:v>2</x:v>
      </x:c>
      <x:c r="I50" s="18" t="n">
        <x:v>0.5</x:v>
      </x:c>
      <x:c r="J50" s="18" t="n">
        <x:v>0.25</x:v>
      </x:c>
      <x:c r="K50" s="18" t="n">
        <x:f>I50+J50</x:f>
        <x:v>0.75</x:v>
      </x:c>
      <x:c r="L50" s="18" t="n">
        <x:v>0</x:v>
      </x:c>
      <x:c r="M50" s="18" t="n">
        <x:v>0</x:v>
      </x:c>
      <x:c r="N50" s="18" t="n">
        <x:f>L50+M50</x:f>
        <x:v>0</x:v>
      </x:c>
      <x:c r="O50" s="18" t="n">
        <x:f>MAX(0,G50-I50-J50)</x:f>
        <x:v>1.25</x:v>
      </x:c>
      <x:c r="P50" s="18" t="n">
        <x:f>MAX(0,G50-8)</x:f>
        <x:v>0</x:v>
      </x:c>
      <x:c r="Q50" s="18" t="n">
        <x:f>ROUND(MIN(100,MAX(0,(O50/6.5)*100-N50*3+P50*4)),1)</x:f>
        <x:v>19.2</x:v>
      </x:c>
      <x:c r="R50" s="17" t="str">
        <x:f>IF(Q50&gt;=85,"High",IF(Q50&gt;=65,"Medium","Low"))</x:f>
        <x:v>Low</x:v>
      </x:c>
      <x:c r="S50" s="17" t="str">
        <x:f>IF(L50&gt;=8,"Leave",IF(L50&gt;0,"Half Day",IF(M50&gt;0,"Permission",IF(P50&gt;0,"Overtime","Regular"))))</x:f>
        <x:v>Regular</x:v>
      </x:c>
    </x:row>
    <x:row r="51">
      <x:c r="A51" s="16" t="n">
        <x:v>46152</x:v>
      </x:c>
      <x:c r="B51" s="17" t="str">
        <x:v>Sunday</x:v>
      </x:c>
      <x:c r="C51" s="17" t="str">
        <x:v>EMP002</x:v>
      </x:c>
      <x:c r="D51" s="17" t="str">
        <x:v>Diya</x:v>
      </x:c>
      <x:c r="E51" s="17" t="str">
        <x:v>AI Employee Productivity Tracker</x:v>
      </x:c>
      <x:c r="F51" s="17" t="str">
        <x:v>Dashboard Design</x:v>
      </x:c>
      <x:c r="G51" s="18" t="n">
        <x:v>3</x:v>
      </x:c>
      <x:c r="H51" s="18" t="n">
        <x:v>3</x:v>
      </x:c>
      <x:c r="I51" s="18" t="n">
        <x:v>0.5</x:v>
      </x:c>
      <x:c r="J51" s="18" t="n">
        <x:v>0.25</x:v>
      </x:c>
      <x:c r="K51" s="18" t="n">
        <x:f>I51+J51</x:f>
        <x:v>0.75</x:v>
      </x:c>
      <x:c r="L51" s="18" t="n">
        <x:v>0</x:v>
      </x:c>
      <x:c r="M51" s="18" t="n">
        <x:v>0</x:v>
      </x:c>
      <x:c r="N51" s="18" t="n">
        <x:f>L51+M51</x:f>
        <x:v>0</x:v>
      </x:c>
      <x:c r="O51" s="18" t="n">
        <x:f>MAX(0,G51-I51-J51)</x:f>
        <x:v>2.25</x:v>
      </x:c>
      <x:c r="P51" s="18" t="n">
        <x:f>MAX(0,G51-8)</x:f>
        <x:v>0</x:v>
      </x:c>
      <x:c r="Q51" s="18" t="n">
        <x:f>ROUND(MIN(100,MAX(0,(O51/6.5)*100-N51*3+P51*4)),1)</x:f>
        <x:v>34.6</x:v>
      </x:c>
      <x:c r="R51" s="17" t="str">
        <x:f>IF(Q51&gt;=85,"High",IF(Q51&gt;=65,"Medium","Low"))</x:f>
        <x:v>Low</x:v>
      </x:c>
      <x:c r="S51" s="17" t="str">
        <x:f>IF(L51&gt;=8,"Leave",IF(L51&gt;0,"Half Day",IF(M51&gt;0,"Permission",IF(P51&gt;0,"Overtime","Regular"))))</x:f>
        <x:v>Regular</x:v>
      </x:c>
    </x:row>
    <x:row r="52">
      <x:c r="A52" s="16" t="n">
        <x:v>46153</x:v>
      </x:c>
      <x:c r="B52" s="17" t="str">
        <x:v>Monday</x:v>
      </x:c>
      <x:c r="C52" s="17" t="str">
        <x:v>EMP003</x:v>
      </x:c>
      <x:c r="D52" s="17" t="str">
        <x:v>Kavin</x:v>
      </x:c>
      <x:c r="E52" s="17" t="str">
        <x:v>Leave Pattern Analysis</x:v>
      </x:c>
      <x:c r="F52" s="17" t="str">
        <x:v>Feature Engineering</x:v>
      </x:c>
      <x:c r="G52" s="18" t="n">
        <x:v>7</x:v>
      </x:c>
      <x:c r="H52" s="18" t="n">
        <x:v>7</x:v>
      </x:c>
      <x:c r="I52" s="18" t="n">
        <x:v>1</x:v>
      </x:c>
      <x:c r="J52" s="18" t="n">
        <x:v>0.5</x:v>
      </x:c>
      <x:c r="K52" s="18" t="n">
        <x:f>I52+J52</x:f>
        <x:v>1.5</x:v>
      </x:c>
      <x:c r="L52" s="18" t="n">
        <x:v>0</x:v>
      </x:c>
      <x:c r="M52" s="18" t="n">
        <x:v>0</x:v>
      </x:c>
      <x:c r="N52" s="18" t="n">
        <x:f>L52+M52</x:f>
        <x:v>0</x:v>
      </x:c>
      <x:c r="O52" s="18" t="n">
        <x:f>MAX(0,G52-I52-J52)</x:f>
        <x:v>5.5</x:v>
      </x:c>
      <x:c r="P52" s="18" t="n">
        <x:f>MAX(0,G52-8)</x:f>
        <x:v>0</x:v>
      </x:c>
      <x:c r="Q52" s="18" t="n">
        <x:f>ROUND(MIN(100,MAX(0,(O52/6.5)*100-N52*3+P52*4)),1)</x:f>
        <x:v>84.6</x:v>
      </x:c>
      <x:c r="R52" s="17" t="str">
        <x:f>IF(Q52&gt;=85,"High",IF(Q52&gt;=65,"Medium","Low"))</x:f>
        <x:v>Medium</x:v>
      </x:c>
      <x:c r="S52" s="17" t="str">
        <x:f>IF(L52&gt;=8,"Leave",IF(L52&gt;0,"Half Day",IF(M52&gt;0,"Permission",IF(P52&gt;0,"Overtime","Regular"))))</x:f>
        <x:v>Regular</x:v>
      </x:c>
    </x:row>
    <x:row r="53">
      <x:c r="A53" s="16" t="n">
        <x:v>46154</x:v>
      </x:c>
      <x:c r="B53" s="17" t="str">
        <x:v>Tuesday</x:v>
      </x:c>
      <x:c r="C53" s="17" t="str">
        <x:v>EMP004</x:v>
      </x:c>
      <x:c r="D53" s="17" t="str">
        <x:v>Meera</x:v>
      </x:c>
      <x:c r="E53" s="17" t="str">
        <x:v>Smart Attendance Analytics</x:v>
      </x:c>
      <x:c r="F53" s="17" t="str">
        <x:v>Deployment</x:v>
      </x:c>
      <x:c r="G53" s="18" t="n">
        <x:v>8.5</x:v>
      </x:c>
      <x:c r="H53" s="18" t="n">
        <x:v>8</x:v>
      </x:c>
      <x:c r="I53" s="18" t="n">
        <x:v>1</x:v>
      </x:c>
      <x:c r="J53" s="18" t="n">
        <x:v>0.5</x:v>
      </x:c>
      <x:c r="K53" s="18" t="n">
        <x:f>I53+J53</x:f>
        <x:v>1.5</x:v>
      </x:c>
      <x:c r="L53" s="18" t="n">
        <x:v>0</x:v>
      </x:c>
      <x:c r="M53" s="18" t="n">
        <x:v>0</x:v>
      </x:c>
      <x:c r="N53" s="18" t="n">
        <x:f>L53+M53</x:f>
        <x:v>0</x:v>
      </x:c>
      <x:c r="O53" s="18" t="n">
        <x:f>MAX(0,G53-I53-J53)</x:f>
        <x:v>7</x:v>
      </x:c>
      <x:c r="P53" s="18" t="n">
        <x:f>MAX(0,G53-8)</x:f>
        <x:v>0.5</x:v>
      </x:c>
      <x:c r="Q53" s="18" t="n">
        <x:f>ROUND(MIN(100,MAX(0,(O53/6.5)*100-N53*3+P53*4)),1)</x:f>
        <x:v>100</x:v>
      </x:c>
      <x:c r="R53" s="17" t="str">
        <x:f>IF(Q53&gt;=85,"High",IF(Q53&gt;=65,"Medium","Low"))</x:f>
        <x:v>High</x:v>
      </x:c>
      <x:c r="S53" s="17" t="str">
        <x:f>IF(L53&gt;=8,"Leave",IF(L53&gt;0,"Half Day",IF(M53&gt;0,"Permission",IF(P53&gt;0,"Overtime","Regular"))))</x:f>
        <x:v>Overtime</x:v>
      </x:c>
    </x:row>
    <x:row r="54">
      <x:c r="A54" s="16" t="n">
        <x:v>46155</x:v>
      </x:c>
      <x:c r="B54" s="17" t="str">
        <x:v>Wednesday</x:v>
      </x:c>
      <x:c r="C54" s="17" t="str">
        <x:v>EMP005</x:v>
      </x:c>
      <x:c r="D54" s="17" t="str">
        <x:v>Rahul</x:v>
      </x:c>
      <x:c r="E54" s="17" t="str">
        <x:v>Leave Pattern Analysis</x:v>
      </x:c>
      <x:c r="F54" s="17" t="str">
        <x:v>Client Review</x:v>
      </x:c>
      <x:c r="G54" s="18" t="n">
        <x:v>7.5</x:v>
      </x:c>
      <x:c r="H54" s="18" t="n">
        <x:v>7.5</x:v>
      </x:c>
      <x:c r="I54" s="18" t="n">
        <x:v>1</x:v>
      </x:c>
      <x:c r="J54" s="18" t="n">
        <x:v>0.5</x:v>
      </x:c>
      <x:c r="K54" s="18" t="n">
        <x:f>I54+J54</x:f>
        <x:v>1.5</x:v>
      </x:c>
      <x:c r="L54" s="18" t="n">
        <x:v>0</x:v>
      </x:c>
      <x:c r="M54" s="18" t="n">
        <x:v>0</x:v>
      </x:c>
      <x:c r="N54" s="18" t="n">
        <x:f>L54+M54</x:f>
        <x:v>0</x:v>
      </x:c>
      <x:c r="O54" s="18" t="n">
        <x:f>MAX(0,G54-I54-J54)</x:f>
        <x:v>6</x:v>
      </x:c>
      <x:c r="P54" s="18" t="n">
        <x:f>MAX(0,G54-8)</x:f>
        <x:v>0</x:v>
      </x:c>
      <x:c r="Q54" s="18" t="n">
        <x:f>ROUND(MIN(100,MAX(0,(O54/6.5)*100-N54*3+P54*4)),1)</x:f>
        <x:v>92.3</x:v>
      </x:c>
      <x:c r="R54" s="17" t="str">
        <x:f>IF(Q54&gt;=85,"High",IF(Q54&gt;=65,"Medium","Low"))</x:f>
        <x:v>High</x:v>
      </x:c>
      <x:c r="S54" s="17" t="str">
        <x:f>IF(L54&gt;=8,"Leave",IF(L54&gt;0,"Half Day",IF(M54&gt;0,"Permission",IF(P54&gt;0,"Overtime","Regular"))))</x:f>
        <x:v>Regular</x:v>
      </x:c>
    </x:row>
    <x:row r="55">
      <x:c r="A55" s="16" t="n">
        <x:v>46156</x:v>
      </x:c>
      <x:c r="B55" s="17" t="str">
        <x:v>Thursday</x:v>
      </x:c>
      <x:c r="C55" s="17" t="str">
        <x:v>EMP006</x:v>
      </x:c>
      <x:c r="D55" s="17" t="str">
        <x:v>Swathi</x:v>
      </x:c>
      <x:c r="E55" s="17" t="str">
        <x:v>Smart Attendance Analytics</x:v>
      </x:c>
      <x:c r="F55" s="17" t="str">
        <x:v>Model Testing</x:v>
      </x:c>
      <x:c r="G55" s="18" t="n">
        <x:v>8</x:v>
      </x:c>
      <x:c r="H55" s="18" t="n">
        <x:v>8</x:v>
      </x:c>
      <x:c r="I55" s="18" t="n">
        <x:v>1</x:v>
      </x:c>
      <x:c r="J55" s="18" t="n">
        <x:v>0.5</x:v>
      </x:c>
      <x:c r="K55" s="18" t="n">
        <x:f>I55+J55</x:f>
        <x:v>1.5</x:v>
      </x:c>
      <x:c r="L55" s="18" t="n">
        <x:v>0</x:v>
      </x:c>
      <x:c r="M55" s="18" t="n">
        <x:v>0</x:v>
      </x:c>
      <x:c r="N55" s="18" t="n">
        <x:f>L55+M55</x:f>
        <x:v>0</x:v>
      </x:c>
      <x:c r="O55" s="18" t="n">
        <x:f>MAX(0,G55-I55-J55)</x:f>
        <x:v>6.5</x:v>
      </x:c>
      <x:c r="P55" s="18" t="n">
        <x:f>MAX(0,G55-8)</x:f>
        <x:v>0</x:v>
      </x:c>
      <x:c r="Q55" s="18" t="n">
        <x:f>ROUND(MIN(100,MAX(0,(O55/6.5)*100-N55*3+P55*4)),1)</x:f>
        <x:v>100</x:v>
      </x:c>
      <x:c r="R55" s="17" t="str">
        <x:f>IF(Q55&gt;=85,"High",IF(Q55&gt;=65,"Medium","Low"))</x:f>
        <x:v>High</x:v>
      </x:c>
      <x:c r="S55" s="17" t="str">
        <x:f>IF(L55&gt;=8,"Leave",IF(L55&gt;0,"Half Day",IF(M55&gt;0,"Permission",IF(P55&gt;0,"Overtime","Regular"))))</x:f>
        <x:v>Regular</x:v>
      </x:c>
    </x:row>
    <x:row r="56">
      <x:c r="A56" s="16" t="n">
        <x:v>46157</x:v>
      </x:c>
      <x:c r="B56" s="17" t="str">
        <x:v>Friday</x:v>
      </x:c>
      <x:c r="C56" s="17" t="str">
        <x:v>EMP007</x:v>
      </x:c>
      <x:c r="D56" s="17" t="str">
        <x:v>Nisha</x:v>
      </x:c>
      <x:c r="E56" s="17" t="str">
        <x:v>Leave Pattern Analysis</x:v>
      </x:c>
      <x:c r="F56" s="17" t="str">
        <x:v>Data Cleaning</x:v>
      </x:c>
      <x:c r="G56" s="18" t="n">
        <x:v>9</x:v>
      </x:c>
      <x:c r="H56" s="18" t="n">
        <x:v>8</x:v>
      </x:c>
      <x:c r="I56" s="18" t="n">
        <x:v>1</x:v>
      </x:c>
      <x:c r="J56" s="18" t="n">
        <x:v>0.5</x:v>
      </x:c>
      <x:c r="K56" s="18" t="n">
        <x:f>I56+J56</x:f>
        <x:v>1.5</x:v>
      </x:c>
      <x:c r="L56" s="18" t="n">
        <x:v>0</x:v>
      </x:c>
      <x:c r="M56" s="18" t="n">
        <x:v>0</x:v>
      </x:c>
      <x:c r="N56" s="18" t="n">
        <x:f>L56+M56</x:f>
        <x:v>0</x:v>
      </x:c>
      <x:c r="O56" s="18" t="n">
        <x:f>MAX(0,G56-I56-J56)</x:f>
        <x:v>7.5</x:v>
      </x:c>
      <x:c r="P56" s="18" t="n">
        <x:f>MAX(0,G56-8)</x:f>
        <x:v>1</x:v>
      </x:c>
      <x:c r="Q56" s="18" t="n">
        <x:f>ROUND(MIN(100,MAX(0,(O56/6.5)*100-N56*3+P56*4)),1)</x:f>
        <x:v>100</x:v>
      </x:c>
      <x:c r="R56" s="17" t="str">
        <x:f>IF(Q56&gt;=85,"High",IF(Q56&gt;=65,"Medium","Low"))</x:f>
        <x:v>High</x:v>
      </x:c>
      <x:c r="S56" s="17" t="str">
        <x:f>IF(L56&gt;=8,"Leave",IF(L56&gt;0,"Half Day",IF(M56&gt;0,"Permission",IF(P56&gt;0,"Overtime","Regular"))))</x:f>
        <x:v>Overtime</x:v>
      </x:c>
    </x:row>
    <x:row r="57">
      <x:c r="A57" s="16" t="n">
        <x:v>46158</x:v>
      </x:c>
      <x:c r="B57" s="17" t="str">
        <x:v>Saturday</x:v>
      </x:c>
      <x:c r="C57" s="17" t="str">
        <x:v>EMP008</x:v>
      </x:c>
      <x:c r="D57" s="17" t="str">
        <x:v>Vikram</x:v>
      </x:c>
      <x:c r="E57" s="17" t="str">
        <x:v>Task Time Prediction Model</x:v>
      </x:c>
      <x:c r="F57" s="17" t="str">
        <x:v>Bug Fixing</x:v>
      </x:c>
      <x:c r="G57" s="18" t="n">
        <x:v>3</x:v>
      </x:c>
      <x:c r="H57" s="18" t="n">
        <x:v>3</x:v>
      </x:c>
      <x:c r="I57" s="18" t="n">
        <x:v>0.5</x:v>
      </x:c>
      <x:c r="J57" s="18" t="n">
        <x:v>0.25</x:v>
      </x:c>
      <x:c r="K57" s="18" t="n">
        <x:f>I57+J57</x:f>
        <x:v>0.75</x:v>
      </x:c>
      <x:c r="L57" s="18" t="n">
        <x:v>0</x:v>
      </x:c>
      <x:c r="M57" s="18" t="n">
        <x:v>0</x:v>
      </x:c>
      <x:c r="N57" s="18" t="n">
        <x:f>L57+M57</x:f>
        <x:v>0</x:v>
      </x:c>
      <x:c r="O57" s="18" t="n">
        <x:f>MAX(0,G57-I57-J57)</x:f>
        <x:v>2.25</x:v>
      </x:c>
      <x:c r="P57" s="18" t="n">
        <x:f>MAX(0,G57-8)</x:f>
        <x:v>0</x:v>
      </x:c>
      <x:c r="Q57" s="18" t="n">
        <x:f>ROUND(MIN(100,MAX(0,(O57/6.5)*100-N57*3+P57*4)),1)</x:f>
        <x:v>34.6</x:v>
      </x:c>
      <x:c r="R57" s="17" t="str">
        <x:f>IF(Q57&gt;=85,"High",IF(Q57&gt;=65,"Medium","Low"))</x:f>
        <x:v>Low</x:v>
      </x:c>
      <x:c r="S57" s="17" t="str">
        <x:f>IF(L57&gt;=8,"Leave",IF(L57&gt;0,"Half Day",IF(M57&gt;0,"Permission",IF(P57&gt;0,"Overtime","Regular"))))</x:f>
        <x:v>Regular</x:v>
      </x:c>
    </x:row>
    <x:row r="58">
      <x:c r="A58" s="16" t="n">
        <x:v>46159</x:v>
      </x:c>
      <x:c r="B58" s="17" t="str">
        <x:v>Sunday</x:v>
      </x:c>
      <x:c r="C58" s="17" t="str">
        <x:v>EMP001</x:v>
      </x:c>
      <x:c r="D58" s="17" t="str">
        <x:v>Aarav</x:v>
      </x:c>
      <x:c r="E58" s="17" t="str">
        <x:v>Workload Balancing Dashboard</x:v>
      </x:c>
      <x:c r="F58" s="17" t="str">
        <x:v>Documentation</x:v>
      </x:c>
      <x:c r="G58" s="18" t="n">
        <x:v>0</x:v>
      </x:c>
      <x:c r="H58" s="18" t="n">
        <x:v>0</x:v>
      </x:c>
      <x:c r="I58" s="18" t="n">
        <x:v>0</x:v>
      </x:c>
      <x:c r="J58" s="18" t="n">
        <x:v>0</x:v>
      </x:c>
      <x:c r="K58" s="18" t="n">
        <x:f>I58+J58</x:f>
        <x:v>0</x:v>
      </x:c>
      <x:c r="L58" s="18" t="n">
        <x:v>0</x:v>
      </x:c>
      <x:c r="M58" s="18" t="n">
        <x:v>0</x:v>
      </x:c>
      <x:c r="N58" s="18" t="n">
        <x:f>L58+M58</x:f>
        <x:v>0</x:v>
      </x:c>
      <x:c r="O58" s="18" t="n">
        <x:f>MAX(0,G58-I58-J58)</x:f>
        <x:v>0</x:v>
      </x:c>
      <x:c r="P58" s="18" t="n">
        <x:f>MAX(0,G58-8)</x:f>
        <x:v>0</x:v>
      </x:c>
      <x:c r="Q58" s="18" t="n">
        <x:f>ROUND(MIN(100,MAX(0,(O58/6.5)*100-N58*3+P58*4)),1)</x:f>
        <x:v>0</x:v>
      </x:c>
      <x:c r="R58" s="17" t="str">
        <x:f>IF(Q58&gt;=85,"High",IF(Q58&gt;=65,"Medium","Low"))</x:f>
        <x:v>Low</x:v>
      </x:c>
      <x:c r="S58" s="17" t="str">
        <x:f>IF(L58&gt;=8,"Leave",IF(L58&gt;0,"Half Day",IF(M58&gt;0,"Permission",IF(P58&gt;0,"Overtime","Regular"))))</x:f>
        <x:v>Regular</x:v>
      </x:c>
    </x:row>
    <x:row r="59">
      <x:c r="A59" s="16" t="n">
        <x:v>46160</x:v>
      </x:c>
      <x:c r="B59" s="17" t="str">
        <x:v>Monday</x:v>
      </x:c>
      <x:c r="C59" s="17" t="str">
        <x:v>EMP002</x:v>
      </x:c>
      <x:c r="D59" s="17" t="str">
        <x:v>Diya</x:v>
      </x:c>
      <x:c r="E59" s="17" t="str">
        <x:v>Task Time Prediction Model</x:v>
      </x:c>
      <x:c r="F59" s="17" t="str">
        <x:v>Model Training</x:v>
      </x:c>
      <x:c r="G59" s="18" t="n">
        <x:v>7</x:v>
      </x:c>
      <x:c r="H59" s="18" t="n">
        <x:v>7</x:v>
      </x:c>
      <x:c r="I59" s="18" t="n">
        <x:v>1</x:v>
      </x:c>
      <x:c r="J59" s="18" t="n">
        <x:v>0.5</x:v>
      </x:c>
      <x:c r="K59" s="18" t="n">
        <x:f>I59+J59</x:f>
        <x:v>1.5</x:v>
      </x:c>
      <x:c r="L59" s="18" t="n">
        <x:v>0</x:v>
      </x:c>
      <x:c r="M59" s="18" t="n">
        <x:v>0</x:v>
      </x:c>
      <x:c r="N59" s="18" t="n">
        <x:f>L59+M59</x:f>
        <x:v>0</x:v>
      </x:c>
      <x:c r="O59" s="18" t="n">
        <x:f>MAX(0,G59-I59-J59)</x:f>
        <x:v>5.5</x:v>
      </x:c>
      <x:c r="P59" s="18" t="n">
        <x:f>MAX(0,G59-8)</x:f>
        <x:v>0</x:v>
      </x:c>
      <x:c r="Q59" s="18" t="n">
        <x:f>ROUND(MIN(100,MAX(0,(O59/6.5)*100-N59*3+P59*4)),1)</x:f>
        <x:v>84.6</x:v>
      </x:c>
      <x:c r="R59" s="17" t="str">
        <x:f>IF(Q59&gt;=85,"High",IF(Q59&gt;=65,"Medium","Low"))</x:f>
        <x:v>Medium</x:v>
      </x:c>
      <x:c r="S59" s="17" t="str">
        <x:f>IF(L59&gt;=8,"Leave",IF(L59&gt;0,"Half Day",IF(M59&gt;0,"Permission",IF(P59&gt;0,"Overtime","Regular"))))</x:f>
        <x:v>Regular</x:v>
      </x:c>
    </x:row>
    <x:row r="60">
      <x:c r="A60" s="16" t="n">
        <x:v>46161</x:v>
      </x:c>
      <x:c r="B60" s="17" t="str">
        <x:v>Tuesday</x:v>
      </x:c>
      <x:c r="C60" s="17" t="str">
        <x:v>EMP003</x:v>
      </x:c>
      <x:c r="D60" s="17" t="str">
        <x:v>Kavin</x:v>
      </x:c>
      <x:c r="E60" s="17" t="str">
        <x:v>Workload Balancing Dashboard</x:v>
      </x:c>
      <x:c r="F60" s="17" t="str">
        <x:v>Data Collection</x:v>
      </x:c>
      <x:c r="G60" s="18" t="n">
        <x:v>8.5</x:v>
      </x:c>
      <x:c r="H60" s="18" t="n">
        <x:v>8</x:v>
      </x:c>
      <x:c r="I60" s="18" t="n">
        <x:v>1</x:v>
      </x:c>
      <x:c r="J60" s="18" t="n">
        <x:v>0.5</x:v>
      </x:c>
      <x:c r="K60" s="18" t="n">
        <x:f>I60+J60</x:f>
        <x:v>1.5</x:v>
      </x:c>
      <x:c r="L60" s="18" t="n">
        <x:v>0</x:v>
      </x:c>
      <x:c r="M60" s="18" t="n">
        <x:v>0</x:v>
      </x:c>
      <x:c r="N60" s="18" t="n">
        <x:f>L60+M60</x:f>
        <x:v>0</x:v>
      </x:c>
      <x:c r="O60" s="18" t="n">
        <x:f>MAX(0,G60-I60-J60)</x:f>
        <x:v>7</x:v>
      </x:c>
      <x:c r="P60" s="18" t="n">
        <x:f>MAX(0,G60-8)</x:f>
        <x:v>0.5</x:v>
      </x:c>
      <x:c r="Q60" s="18" t="n">
        <x:f>ROUND(MIN(100,MAX(0,(O60/6.5)*100-N60*3+P60*4)),1)</x:f>
        <x:v>100</x:v>
      </x:c>
      <x:c r="R60" s="17" t="str">
        <x:f>IF(Q60&gt;=85,"High",IF(Q60&gt;=65,"Medium","Low"))</x:f>
        <x:v>High</x:v>
      </x:c>
      <x:c r="S60" s="17" t="str">
        <x:f>IF(L60&gt;=8,"Leave",IF(L60&gt;0,"Half Day",IF(M60&gt;0,"Permission",IF(P60&gt;0,"Overtime","Regular"))))</x:f>
        <x:v>Overtime</x:v>
      </x:c>
    </x:row>
    <x:row r="61">
      <x:c r="A61" s="16" t="n">
        <x:v>46162</x:v>
      </x:c>
      <x:c r="B61" s="17" t="str">
        <x:v>Wednesday</x:v>
      </x:c>
      <x:c r="C61" s="17" t="str">
        <x:v>EMP004</x:v>
      </x:c>
      <x:c r="D61" s="17" t="str">
        <x:v>Meera</x:v>
      </x:c>
      <x:c r="E61" s="17" t="str">
        <x:v>Task Time Prediction Model</x:v>
      </x:c>
      <x:c r="F61" s="17" t="str">
        <x:v>Client Review</x:v>
      </x:c>
      <x:c r="G61" s="18" t="n">
        <x:v>8.5</x:v>
      </x:c>
      <x:c r="H61" s="18" t="n">
        <x:v>8</x:v>
      </x:c>
      <x:c r="I61" s="18" t="n">
        <x:v>1</x:v>
      </x:c>
      <x:c r="J61" s="18" t="n">
        <x:v>0.5</x:v>
      </x:c>
      <x:c r="K61" s="18" t="n">
        <x:f>I61+J61</x:f>
        <x:v>1.5</x:v>
      </x:c>
      <x:c r="L61" s="18" t="n">
        <x:v>0</x:v>
      </x:c>
      <x:c r="M61" s="18" t="n">
        <x:v>0</x:v>
      </x:c>
      <x:c r="N61" s="18" t="n">
        <x:f>L61+M61</x:f>
        <x:v>0</x:v>
      </x:c>
      <x:c r="O61" s="18" t="n">
        <x:f>MAX(0,G61-I61-J61)</x:f>
        <x:v>7</x:v>
      </x:c>
      <x:c r="P61" s="18" t="n">
        <x:f>MAX(0,G61-8)</x:f>
        <x:v>0.5</x:v>
      </x:c>
      <x:c r="Q61" s="18" t="n">
        <x:f>ROUND(MIN(100,MAX(0,(O61/6.5)*100-N61*3+P61*4)),1)</x:f>
        <x:v>100</x:v>
      </x:c>
      <x:c r="R61" s="17" t="str">
        <x:f>IF(Q61&gt;=85,"High",IF(Q61&gt;=65,"Medium","Low"))</x:f>
        <x:v>High</x:v>
      </x:c>
      <x:c r="S61" s="17" t="str">
        <x:f>IF(L61&gt;=8,"Leave",IF(L61&gt;0,"Half Day",IF(M61&gt;0,"Permission",IF(P61&gt;0,"Overtime","Regular"))))</x:f>
        <x:v>Overtime</x:v>
      </x:c>
    </x:row>
    <x:row r="62">
      <x:c r="A62" s="16" t="n">
        <x:v>46143</x:v>
      </x:c>
      <x:c r="B62" s="17" t="str">
        <x:v>Friday</x:v>
      </x:c>
      <x:c r="C62" s="17" t="str">
        <x:v>EMP005</x:v>
      </x:c>
      <x:c r="D62" s="17" t="str">
        <x:v>Rahul</x:v>
      </x:c>
      <x:c r="E62" s="17" t="str">
        <x:v>AI Employee Productivity Tracker</x:v>
      </x:c>
      <x:c r="F62" s="17" t="str">
        <x:v>Dashboard Design</x:v>
      </x:c>
      <x:c r="G62" s="18" t="n">
        <x:v>8.5</x:v>
      </x:c>
      <x:c r="H62" s="18" t="n">
        <x:v>8</x:v>
      </x:c>
      <x:c r="I62" s="18" t="n">
        <x:v>1</x:v>
      </x:c>
      <x:c r="J62" s="18" t="n">
        <x:v>0.5</x:v>
      </x:c>
      <x:c r="K62" s="18" t="n">
        <x:f>I62+J62</x:f>
        <x:v>1.5</x:v>
      </x:c>
      <x:c r="L62" s="18" t="n">
        <x:v>0</x:v>
      </x:c>
      <x:c r="M62" s="18" t="n">
        <x:v>0</x:v>
      </x:c>
      <x:c r="N62" s="18" t="n">
        <x:f>L62+M62</x:f>
        <x:v>0</x:v>
      </x:c>
      <x:c r="O62" s="18" t="n">
        <x:f>MAX(0,G62-I62-J62)</x:f>
        <x:v>7</x:v>
      </x:c>
      <x:c r="P62" s="18" t="n">
        <x:f>MAX(0,G62-8)</x:f>
        <x:v>0.5</x:v>
      </x:c>
      <x:c r="Q62" s="18" t="n">
        <x:f>ROUND(MIN(100,MAX(0,(O62/6.5)*100-N62*3+P62*4)),1)</x:f>
        <x:v>100</x:v>
      </x:c>
      <x:c r="R62" s="17" t="str">
        <x:f>IF(Q62&gt;=85,"High",IF(Q62&gt;=65,"Medium","Low"))</x:f>
        <x:v>High</x:v>
      </x:c>
      <x:c r="S62" s="17" t="str">
        <x:f>IF(L62&gt;=8,"Leave",IF(L62&gt;0,"Half Day",IF(M62&gt;0,"Permission",IF(P62&gt;0,"Overtime","Regular"))))</x:f>
        <x:v>Overtime</x:v>
      </x:c>
    </x:row>
    <x:row r="63">
      <x:c r="A63" s="16" t="n">
        <x:v>46144</x:v>
      </x:c>
      <x:c r="B63" s="17" t="str">
        <x:v>Saturday</x:v>
      </x:c>
      <x:c r="C63" s="17" t="str">
        <x:v>EMP006</x:v>
      </x:c>
      <x:c r="D63" s="17" t="str">
        <x:v>Swathi</x:v>
      </x:c>
      <x:c r="E63" s="17" t="str">
        <x:v>Project Cost Estimator</x:v>
      </x:c>
      <x:c r="F63" s="17" t="str">
        <x:v>Feature Engineering</x:v>
      </x:c>
      <x:c r="G63" s="18" t="n">
        <x:v>3</x:v>
      </x:c>
      <x:c r="H63" s="18" t="n">
        <x:v>3</x:v>
      </x:c>
      <x:c r="I63" s="18" t="n">
        <x:v>0.5</x:v>
      </x:c>
      <x:c r="J63" s="18" t="n">
        <x:v>0.25</x:v>
      </x:c>
      <x:c r="K63" s="18" t="n">
        <x:f>I63+J63</x:f>
        <x:v>0.75</x:v>
      </x:c>
      <x:c r="L63" s="18" t="n">
        <x:v>0</x:v>
      </x:c>
      <x:c r="M63" s="18" t="n">
        <x:v>0</x:v>
      </x:c>
      <x:c r="N63" s="18" t="n">
        <x:f>L63+M63</x:f>
        <x:v>0</x:v>
      </x:c>
      <x:c r="O63" s="18" t="n">
        <x:f>MAX(0,G63-I63-J63)</x:f>
        <x:v>2.25</x:v>
      </x:c>
      <x:c r="P63" s="18" t="n">
        <x:f>MAX(0,G63-8)</x:f>
        <x:v>0</x:v>
      </x:c>
      <x:c r="Q63" s="18" t="n">
        <x:f>ROUND(MIN(100,MAX(0,(O63/6.5)*100-N63*3+P63*4)),1)</x:f>
        <x:v>34.6</x:v>
      </x:c>
      <x:c r="R63" s="17" t="str">
        <x:f>IF(Q63&gt;=85,"High",IF(Q63&gt;=65,"Medium","Low"))</x:f>
        <x:v>Low</x:v>
      </x:c>
      <x:c r="S63" s="17" t="str">
        <x:f>IF(L63&gt;=8,"Leave",IF(L63&gt;0,"Half Day",IF(M63&gt;0,"Permission",IF(P63&gt;0,"Overtime","Regular"))))</x:f>
        <x:v>Regular</x:v>
      </x:c>
    </x:row>
    <x:row r="64">
      <x:c r="A64" s="16" t="n">
        <x:v>46145</x:v>
      </x:c>
      <x:c r="B64" s="17" t="str">
        <x:v>Sunday</x:v>
      </x:c>
      <x:c r="C64" s="17" t="str">
        <x:v>EMP007</x:v>
      </x:c>
      <x:c r="D64" s="17" t="str">
        <x:v>Nisha</x:v>
      </x:c>
      <x:c r="E64" s="17" t="str">
        <x:v>AI Employee Productivity Tracker</x:v>
      </x:c>
      <x:c r="F64" s="17" t="str">
        <x:v>Deployment</x:v>
      </x:c>
      <x:c r="G64" s="18" t="n">
        <x:v>2</x:v>
      </x:c>
      <x:c r="H64" s="18" t="n">
        <x:v>2</x:v>
      </x:c>
      <x:c r="I64" s="18" t="n">
        <x:v>0.5</x:v>
      </x:c>
      <x:c r="J64" s="18" t="n">
        <x:v>0.25</x:v>
      </x:c>
      <x:c r="K64" s="18" t="n">
        <x:f>I64+J64</x:f>
        <x:v>0.75</x:v>
      </x:c>
      <x:c r="L64" s="18" t="n">
        <x:v>0</x:v>
      </x:c>
      <x:c r="M64" s="18" t="n">
        <x:v>0</x:v>
      </x:c>
      <x:c r="N64" s="18" t="n">
        <x:f>L64+M64</x:f>
        <x:v>0</x:v>
      </x:c>
      <x:c r="O64" s="18" t="n">
        <x:f>MAX(0,G64-I64-J64)</x:f>
        <x:v>1.25</x:v>
      </x:c>
      <x:c r="P64" s="18" t="n">
        <x:f>MAX(0,G64-8)</x:f>
        <x:v>0</x:v>
      </x:c>
      <x:c r="Q64" s="18" t="n">
        <x:f>ROUND(MIN(100,MAX(0,(O64/6.5)*100-N64*3+P64*4)),1)</x:f>
        <x:v>19.2</x:v>
      </x:c>
      <x:c r="R64" s="17" t="str">
        <x:f>IF(Q64&gt;=85,"High",IF(Q64&gt;=65,"Medium","Low"))</x:f>
        <x:v>Low</x:v>
      </x:c>
      <x:c r="S64" s="17" t="str">
        <x:f>IF(L64&gt;=8,"Leave",IF(L64&gt;0,"Half Day",IF(M64&gt;0,"Permission",IF(P64&gt;0,"Overtime","Regular"))))</x:f>
        <x:v>Regular</x:v>
      </x:c>
    </x:row>
    <x:row r="65">
      <x:c r="A65" s="16" t="n">
        <x:v>46146</x:v>
      </x:c>
      <x:c r="B65" s="17" t="str">
        <x:v>Monday</x:v>
      </x:c>
      <x:c r="C65" s="17" t="str">
        <x:v>EMP008</x:v>
      </x:c>
      <x:c r="D65" s="17" t="str">
        <x:v>Vikram</x:v>
      </x:c>
      <x:c r="E65" s="17" t="str">
        <x:v>Project Cost Estimator</x:v>
      </x:c>
      <x:c r="F65" s="17" t="str">
        <x:v>Documentation</x:v>
      </x:c>
      <x:c r="G65" s="18" t="n">
        <x:v>7</x:v>
      </x:c>
      <x:c r="H65" s="18" t="n">
        <x:v>7</x:v>
      </x:c>
      <x:c r="I65" s="18" t="n">
        <x:v>1</x:v>
      </x:c>
      <x:c r="J65" s="18" t="n">
        <x:v>0.5</x:v>
      </x:c>
      <x:c r="K65" s="18" t="n">
        <x:f>I65+J65</x:f>
        <x:v>1.5</x:v>
      </x:c>
      <x:c r="L65" s="18" t="n">
        <x:v>0</x:v>
      </x:c>
      <x:c r="M65" s="18" t="n">
        <x:v>0</x:v>
      </x:c>
      <x:c r="N65" s="18" t="n">
        <x:f>L65+M65</x:f>
        <x:v>0</x:v>
      </x:c>
      <x:c r="O65" s="18" t="n">
        <x:f>MAX(0,G65-I65-J65)</x:f>
        <x:v>5.5</x:v>
      </x:c>
      <x:c r="P65" s="18" t="n">
        <x:f>MAX(0,G65-8)</x:f>
        <x:v>0</x:v>
      </x:c>
      <x:c r="Q65" s="18" t="n">
        <x:f>ROUND(MIN(100,MAX(0,(O65/6.5)*100-N65*3+P65*4)),1)</x:f>
        <x:v>84.6</x:v>
      </x:c>
      <x:c r="R65" s="17" t="str">
        <x:f>IF(Q65&gt;=85,"High",IF(Q65&gt;=65,"Medium","Low"))</x:f>
        <x:v>Medium</x:v>
      </x:c>
      <x:c r="S65" s="17" t="str">
        <x:f>IF(L65&gt;=8,"Leave",IF(L65&gt;0,"Half Day",IF(M65&gt;0,"Permission",IF(P65&gt;0,"Overtime","Regular"))))</x:f>
        <x:v>Regular</x:v>
      </x:c>
    </x:row>
    <x:row r="66">
      <x:c r="A66" s="16" t="n">
        <x:v>46147</x:v>
      </x:c>
      <x:c r="B66" s="17" t="str">
        <x:v>Tuesday</x:v>
      </x:c>
      <x:c r="C66" s="17" t="str">
        <x:v>EMP001</x:v>
      </x:c>
      <x:c r="D66" s="17" t="str">
        <x:v>Aarav</x:v>
      </x:c>
      <x:c r="E66" s="17" t="str">
        <x:v>AI Employee Productivity Tracker</x:v>
      </x:c>
      <x:c r="F66" s="17" t="str">
        <x:v>Model Testing</x:v>
      </x:c>
      <x:c r="G66" s="18" t="n">
        <x:v>6</x:v>
      </x:c>
      <x:c r="H66" s="18" t="n">
        <x:v>6</x:v>
      </x:c>
      <x:c r="I66" s="18" t="n">
        <x:v>1</x:v>
      </x:c>
      <x:c r="J66" s="18" t="n">
        <x:v>0.5</x:v>
      </x:c>
      <x:c r="K66" s="18" t="n">
        <x:f>I66+J66</x:f>
        <x:v>1.5</x:v>
      </x:c>
      <x:c r="L66" s="18" t="n">
        <x:v>0</x:v>
      </x:c>
      <x:c r="M66" s="18" t="n">
        <x:v>0</x:v>
      </x:c>
      <x:c r="N66" s="18" t="n">
        <x:f>L66+M66</x:f>
        <x:v>0</x:v>
      </x:c>
      <x:c r="O66" s="18" t="n">
        <x:f>MAX(0,G66-I66-J66)</x:f>
        <x:v>4.5</x:v>
      </x:c>
      <x:c r="P66" s="18" t="n">
        <x:f>MAX(0,G66-8)</x:f>
        <x:v>0</x:v>
      </x:c>
      <x:c r="Q66" s="18" t="n">
        <x:f>ROUND(MIN(100,MAX(0,(O66/6.5)*100-N66*3+P66*4)),1)</x:f>
        <x:v>69.2</x:v>
      </x:c>
      <x:c r="R66" s="17" t="str">
        <x:f>IF(Q66&gt;=85,"High",IF(Q66&gt;=65,"Medium","Low"))</x:f>
        <x:v>Medium</x:v>
      </x:c>
      <x:c r="S66" s="17" t="str">
        <x:f>IF(L66&gt;=8,"Leave",IF(L66&gt;0,"Half Day",IF(M66&gt;0,"Permission",IF(P66&gt;0,"Overtime","Regular"))))</x:f>
        <x:v>Regular</x:v>
      </x:c>
    </x:row>
    <x:row r="67">
      <x:c r="A67" s="16" t="n">
        <x:v>46148</x:v>
      </x:c>
      <x:c r="B67" s="17" t="str">
        <x:v>Wednesday</x:v>
      </x:c>
      <x:c r="C67" s="17" t="str">
        <x:v>EMP002</x:v>
      </x:c>
      <x:c r="D67" s="17" t="str">
        <x:v>Diya</x:v>
      </x:c>
      <x:c r="E67" s="17" t="str">
        <x:v>Leave Pattern Analysis</x:v>
      </x:c>
      <x:c r="F67" s="17" t="str">
        <x:v>Data Cleaning</x:v>
      </x:c>
      <x:c r="G67" s="18" t="n">
        <x:v>6</x:v>
      </x:c>
      <x:c r="H67" s="18" t="n">
        <x:v>6</x:v>
      </x:c>
      <x:c r="I67" s="18" t="n">
        <x:v>1</x:v>
      </x:c>
      <x:c r="J67" s="18" t="n">
        <x:v>0.5</x:v>
      </x:c>
      <x:c r="K67" s="18" t="n">
        <x:f>I67+J67</x:f>
        <x:v>1.5</x:v>
      </x:c>
      <x:c r="L67" s="18" t="n">
        <x:v>0</x:v>
      </x:c>
      <x:c r="M67" s="18" t="n">
        <x:v>0</x:v>
      </x:c>
      <x:c r="N67" s="18" t="n">
        <x:f>L67+M67</x:f>
        <x:v>0</x:v>
      </x:c>
      <x:c r="O67" s="18" t="n">
        <x:f>MAX(0,G67-I67-J67)</x:f>
        <x:v>4.5</x:v>
      </x:c>
      <x:c r="P67" s="18" t="n">
        <x:f>MAX(0,G67-8)</x:f>
        <x:v>0</x:v>
      </x:c>
      <x:c r="Q67" s="18" t="n">
        <x:f>ROUND(MIN(100,MAX(0,(O67/6.5)*100-N67*3+P67*4)),1)</x:f>
        <x:v>69.2</x:v>
      </x:c>
      <x:c r="R67" s="17" t="str">
        <x:f>IF(Q67&gt;=85,"High",IF(Q67&gt;=65,"Medium","Low"))</x:f>
        <x:v>Medium</x:v>
      </x:c>
      <x:c r="S67" s="17" t="str">
        <x:f>IF(L67&gt;=8,"Leave",IF(L67&gt;0,"Half Day",IF(M67&gt;0,"Permission",IF(P67&gt;0,"Overtime","Regular"))))</x:f>
        <x:v>Regular</x:v>
      </x:c>
    </x:row>
    <x:row r="68">
      <x:c r="A68" s="16" t="n">
        <x:v>46149</x:v>
      </x:c>
      <x:c r="B68" s="17" t="str">
        <x:v>Thursday</x:v>
      </x:c>
      <x:c r="C68" s="17" t="str">
        <x:v>EMP003</x:v>
      </x:c>
      <x:c r="D68" s="17" t="str">
        <x:v>Kavin</x:v>
      </x:c>
      <x:c r="E68" s="17" t="str">
        <x:v>Smart Attendance Analytics</x:v>
      </x:c>
      <x:c r="F68" s="17" t="str">
        <x:v>Bug Fixing</x:v>
      </x:c>
      <x:c r="G68" s="18" t="n">
        <x:v>7</x:v>
      </x:c>
      <x:c r="H68" s="18" t="n">
        <x:v>7</x:v>
      </x:c>
      <x:c r="I68" s="18" t="n">
        <x:v>1</x:v>
      </x:c>
      <x:c r="J68" s="18" t="n">
        <x:v>0.5</x:v>
      </x:c>
      <x:c r="K68" s="18" t="n">
        <x:f>I68+J68</x:f>
        <x:v>1.5</x:v>
      </x:c>
      <x:c r="L68" s="18" t="n">
        <x:v>0</x:v>
      </x:c>
      <x:c r="M68" s="18" t="n">
        <x:v>1</x:v>
      </x:c>
      <x:c r="N68" s="18" t="n">
        <x:f>L68+M68</x:f>
        <x:v>1</x:v>
      </x:c>
      <x:c r="O68" s="18" t="n">
        <x:f>MAX(0,G68-I68-J68)</x:f>
        <x:v>5.5</x:v>
      </x:c>
      <x:c r="P68" s="18" t="n">
        <x:f>MAX(0,G68-8)</x:f>
        <x:v>0</x:v>
      </x:c>
      <x:c r="Q68" s="18" t="n">
        <x:f>ROUND(MIN(100,MAX(0,(O68/6.5)*100-N68*3+P68*4)),1)</x:f>
        <x:v>81.6</x:v>
      </x:c>
      <x:c r="R68" s="17" t="str">
        <x:f>IF(Q68&gt;=85,"High",IF(Q68&gt;=65,"Medium","Low"))</x:f>
        <x:v>Medium</x:v>
      </x:c>
      <x:c r="S68" s="17" t="str">
        <x:f>IF(L68&gt;=8,"Leave",IF(L68&gt;0,"Half Day",IF(M68&gt;0,"Permission",IF(P68&gt;0,"Overtime","Regular"))))</x:f>
        <x:v>Permission</x:v>
      </x:c>
    </x:row>
    <x:row r="69">
      <x:c r="A69" s="16" t="n">
        <x:v>46150</x:v>
      </x:c>
      <x:c r="B69" s="17" t="str">
        <x:v>Friday</x:v>
      </x:c>
      <x:c r="C69" s="17" t="str">
        <x:v>EMP004</x:v>
      </x:c>
      <x:c r="D69" s="17" t="str">
        <x:v>Meera</x:v>
      </x:c>
      <x:c r="E69" s="17" t="str">
        <x:v>Leave Pattern Analysis</x:v>
      </x:c>
      <x:c r="F69" s="17" t="str">
        <x:v>Dashboard Design</x:v>
      </x:c>
      <x:c r="G69" s="18" t="n">
        <x:v>6</x:v>
      </x:c>
      <x:c r="H69" s="18" t="n">
        <x:v>6</x:v>
      </x:c>
      <x:c r="I69" s="18" t="n">
        <x:v>1</x:v>
      </x:c>
      <x:c r="J69" s="18" t="n">
        <x:v>0.5</x:v>
      </x:c>
      <x:c r="K69" s="18" t="n">
        <x:f>I69+J69</x:f>
        <x:v>1.5</x:v>
      </x:c>
      <x:c r="L69" s="18" t="n">
        <x:v>0</x:v>
      </x:c>
      <x:c r="M69" s="18" t="n">
        <x:v>0</x:v>
      </x:c>
      <x:c r="N69" s="18" t="n">
        <x:f>L69+M69</x:f>
        <x:v>0</x:v>
      </x:c>
      <x:c r="O69" s="18" t="n">
        <x:f>MAX(0,G69-I69-J69)</x:f>
        <x:v>4.5</x:v>
      </x:c>
      <x:c r="P69" s="18" t="n">
        <x:f>MAX(0,G69-8)</x:f>
        <x:v>0</x:v>
      </x:c>
      <x:c r="Q69" s="18" t="n">
        <x:f>ROUND(MIN(100,MAX(0,(O69/6.5)*100-N69*3+P69*4)),1)</x:f>
        <x:v>69.2</x:v>
      </x:c>
      <x:c r="R69" s="17" t="str">
        <x:f>IF(Q69&gt;=85,"High",IF(Q69&gt;=65,"Medium","Low"))</x:f>
        <x:v>Medium</x:v>
      </x:c>
      <x:c r="S69" s="17" t="str">
        <x:f>IF(L69&gt;=8,"Leave",IF(L69&gt;0,"Half Day",IF(M69&gt;0,"Permission",IF(P69&gt;0,"Overtime","Regular"))))</x:f>
        <x:v>Regular</x:v>
      </x:c>
    </x:row>
    <x:row r="70">
      <x:c r="A70" s="16" t="n">
        <x:v>46151</x:v>
      </x:c>
      <x:c r="B70" s="17" t="str">
        <x:v>Saturday</x:v>
      </x:c>
      <x:c r="C70" s="17" t="str">
        <x:v>EMP005</x:v>
      </x:c>
      <x:c r="D70" s="17" t="str">
        <x:v>Rahul</x:v>
      </x:c>
      <x:c r="E70" s="17" t="str">
        <x:v>Smart Attendance Analytics</x:v>
      </x:c>
      <x:c r="F70" s="17" t="str">
        <x:v>Model Training</x:v>
      </x:c>
      <x:c r="G70" s="18" t="n">
        <x:v>3</x:v>
      </x:c>
      <x:c r="H70" s="18" t="n">
        <x:v>3</x:v>
      </x:c>
      <x:c r="I70" s="18" t="n">
        <x:v>0.5</x:v>
      </x:c>
      <x:c r="J70" s="18" t="n">
        <x:v>0.25</x:v>
      </x:c>
      <x:c r="K70" s="18" t="n">
        <x:f>I70+J70</x:f>
        <x:v>0.75</x:v>
      </x:c>
      <x:c r="L70" s="18" t="n">
        <x:v>0</x:v>
      </x:c>
      <x:c r="M70" s="18" t="n">
        <x:v>0</x:v>
      </x:c>
      <x:c r="N70" s="18" t="n">
        <x:f>L70+M70</x:f>
        <x:v>0</x:v>
      </x:c>
      <x:c r="O70" s="18" t="n">
        <x:f>MAX(0,G70-I70-J70)</x:f>
        <x:v>2.25</x:v>
      </x:c>
      <x:c r="P70" s="18" t="n">
        <x:f>MAX(0,G70-8)</x:f>
        <x:v>0</x:v>
      </x:c>
      <x:c r="Q70" s="18" t="n">
        <x:f>ROUND(MIN(100,MAX(0,(O70/6.5)*100-N70*3+P70*4)),1)</x:f>
        <x:v>34.6</x:v>
      </x:c>
      <x:c r="R70" s="17" t="str">
        <x:f>IF(Q70&gt;=85,"High",IF(Q70&gt;=65,"Medium","Low"))</x:f>
        <x:v>Low</x:v>
      </x:c>
      <x:c r="S70" s="17" t="str">
        <x:f>IF(L70&gt;=8,"Leave",IF(L70&gt;0,"Half Day",IF(M70&gt;0,"Permission",IF(P70&gt;0,"Overtime","Regular"))))</x:f>
        <x:v>Regular</x:v>
      </x:c>
    </x:row>
    <x:row r="71">
      <x:c r="A71" s="16" t="n">
        <x:v>46152</x:v>
      </x:c>
      <x:c r="B71" s="17" t="str">
        <x:v>Sunday</x:v>
      </x:c>
      <x:c r="C71" s="17" t="str">
        <x:v>EMP006</x:v>
      </x:c>
      <x:c r="D71" s="17" t="str">
        <x:v>Swathi</x:v>
      </x:c>
      <x:c r="E71" s="17" t="str">
        <x:v>Leave Pattern Analysis</x:v>
      </x:c>
      <x:c r="F71" s="17" t="str">
        <x:v>Data Collection</x:v>
      </x:c>
      <x:c r="G71" s="18" t="n">
        <x:v>3</x:v>
      </x:c>
      <x:c r="H71" s="18" t="n">
        <x:v>3</x:v>
      </x:c>
      <x:c r="I71" s="18" t="n">
        <x:v>0.5</x:v>
      </x:c>
      <x:c r="J71" s="18" t="n">
        <x:v>0.25</x:v>
      </x:c>
      <x:c r="K71" s="18" t="n">
        <x:f>I71+J71</x:f>
        <x:v>0.75</x:v>
      </x:c>
      <x:c r="L71" s="18" t="n">
        <x:v>0</x:v>
      </x:c>
      <x:c r="M71" s="18" t="n">
        <x:v>0</x:v>
      </x:c>
      <x:c r="N71" s="18" t="n">
        <x:f>L71+M71</x:f>
        <x:v>0</x:v>
      </x:c>
      <x:c r="O71" s="18" t="n">
        <x:f>MAX(0,G71-I71-J71)</x:f>
        <x:v>2.25</x:v>
      </x:c>
      <x:c r="P71" s="18" t="n">
        <x:f>MAX(0,G71-8)</x:f>
        <x:v>0</x:v>
      </x:c>
      <x:c r="Q71" s="18" t="n">
        <x:f>ROUND(MIN(100,MAX(0,(O71/6.5)*100-N71*3+P71*4)),1)</x:f>
        <x:v>34.6</x:v>
      </x:c>
      <x:c r="R71" s="17" t="str">
        <x:f>IF(Q71&gt;=85,"High",IF(Q71&gt;=65,"Medium","Low"))</x:f>
        <x:v>Low</x:v>
      </x:c>
      <x:c r="S71" s="17" t="str">
        <x:f>IF(L71&gt;=8,"Leave",IF(L71&gt;0,"Half Day",IF(M71&gt;0,"Permission",IF(P71&gt;0,"Overtime","Regular"))))</x:f>
        <x:v>Regular</x:v>
      </x:c>
    </x:row>
    <x:row r="72">
      <x:c r="A72" s="16" t="n">
        <x:v>46153</x:v>
      </x:c>
      <x:c r="B72" s="17" t="str">
        <x:v>Monday</x:v>
      </x:c>
      <x:c r="C72" s="17" t="str">
        <x:v>EMP007</x:v>
      </x:c>
      <x:c r="D72" s="17" t="str">
        <x:v>Nisha</x:v>
      </x:c>
      <x:c r="E72" s="17" t="str">
        <x:v>Task Time Prediction Model</x:v>
      </x:c>
      <x:c r="F72" s="17" t="str">
        <x:v>Client Review</x:v>
      </x:c>
      <x:c r="G72" s="18" t="n">
        <x:v>8</x:v>
      </x:c>
      <x:c r="H72" s="18" t="n">
        <x:v>8</x:v>
      </x:c>
      <x:c r="I72" s="18" t="n">
        <x:v>1</x:v>
      </x:c>
      <x:c r="J72" s="18" t="n">
        <x:v>0.5</x:v>
      </x:c>
      <x:c r="K72" s="18" t="n">
        <x:f>I72+J72</x:f>
        <x:v>1.5</x:v>
      </x:c>
      <x:c r="L72" s="18" t="n">
        <x:v>0</x:v>
      </x:c>
      <x:c r="M72" s="18" t="n">
        <x:v>0</x:v>
      </x:c>
      <x:c r="N72" s="18" t="n">
        <x:f>L72+M72</x:f>
        <x:v>0</x:v>
      </x:c>
      <x:c r="O72" s="18" t="n">
        <x:f>MAX(0,G72-I72-J72)</x:f>
        <x:v>6.5</x:v>
      </x:c>
      <x:c r="P72" s="18" t="n">
        <x:f>MAX(0,G72-8)</x:f>
        <x:v>0</x:v>
      </x:c>
      <x:c r="Q72" s="18" t="n">
        <x:f>ROUND(MIN(100,MAX(0,(O72/6.5)*100-N72*3+P72*4)),1)</x:f>
        <x:v>100</x:v>
      </x:c>
      <x:c r="R72" s="17" t="str">
        <x:f>IF(Q72&gt;=85,"High",IF(Q72&gt;=65,"Medium","Low"))</x:f>
        <x:v>High</x:v>
      </x:c>
      <x:c r="S72" s="17" t="str">
        <x:f>IF(L72&gt;=8,"Leave",IF(L72&gt;0,"Half Day",IF(M72&gt;0,"Permission",IF(P72&gt;0,"Overtime","Regular"))))</x:f>
        <x:v>Regular</x:v>
      </x:c>
    </x:row>
    <x:row r="73">
      <x:c r="A73" s="16" t="n">
        <x:v>46154</x:v>
      </x:c>
      <x:c r="B73" s="17" t="str">
        <x:v>Tuesday</x:v>
      </x:c>
      <x:c r="C73" s="17" t="str">
        <x:v>EMP008</x:v>
      </x:c>
      <x:c r="D73" s="17" t="str">
        <x:v>Vikram</x:v>
      </x:c>
      <x:c r="E73" s="17" t="str">
        <x:v>Workload Balancing Dashboard</x:v>
      </x:c>
      <x:c r="F73" s="17" t="str">
        <x:v>Model Testing</x:v>
      </x:c>
      <x:c r="G73" s="18" t="n">
        <x:v>8.5</x:v>
      </x:c>
      <x:c r="H73" s="18" t="n">
        <x:v>8</x:v>
      </x:c>
      <x:c r="I73" s="18" t="n">
        <x:v>1</x:v>
      </x:c>
      <x:c r="J73" s="18" t="n">
        <x:v>0.5</x:v>
      </x:c>
      <x:c r="K73" s="18" t="n">
        <x:f>I73+J73</x:f>
        <x:v>1.5</x:v>
      </x:c>
      <x:c r="L73" s="18" t="n">
        <x:v>0</x:v>
      </x:c>
      <x:c r="M73" s="18" t="n">
        <x:v>0</x:v>
      </x:c>
      <x:c r="N73" s="18" t="n">
        <x:f>L73+M73</x:f>
        <x:v>0</x:v>
      </x:c>
      <x:c r="O73" s="18" t="n">
        <x:f>MAX(0,G73-I73-J73)</x:f>
        <x:v>7</x:v>
      </x:c>
      <x:c r="P73" s="18" t="n">
        <x:f>MAX(0,G73-8)</x:f>
        <x:v>0.5</x:v>
      </x:c>
      <x:c r="Q73" s="18" t="n">
        <x:f>ROUND(MIN(100,MAX(0,(O73/6.5)*100-N73*3+P73*4)),1)</x:f>
        <x:v>100</x:v>
      </x:c>
      <x:c r="R73" s="17" t="str">
        <x:f>IF(Q73&gt;=85,"High",IF(Q73&gt;=65,"Medium","Low"))</x:f>
        <x:v>High</x:v>
      </x:c>
      <x:c r="S73" s="17" t="str">
        <x:f>IF(L73&gt;=8,"Leave",IF(L73&gt;0,"Half Day",IF(M73&gt;0,"Permission",IF(P73&gt;0,"Overtime","Regular"))))</x:f>
        <x:v>Overtime</x:v>
      </x:c>
    </x:row>
    <x:row r="74">
      <x:c r="A74" s="16" t="n">
        <x:v>46155</x:v>
      </x:c>
      <x:c r="B74" s="17" t="str">
        <x:v>Wednesday</x:v>
      </x:c>
      <x:c r="C74" s="17" t="str">
        <x:v>EMP001</x:v>
      </x:c>
      <x:c r="D74" s="17" t="str">
        <x:v>Aarav</x:v>
      </x:c>
      <x:c r="E74" s="17" t="str">
        <x:v>Task Time Prediction Model</x:v>
      </x:c>
      <x:c r="F74" s="17" t="str">
        <x:v>Feature Engineering</x:v>
      </x:c>
      <x:c r="G74" s="18" t="n">
        <x:v>6</x:v>
      </x:c>
      <x:c r="H74" s="18" t="n">
        <x:v>6</x:v>
      </x:c>
      <x:c r="I74" s="18" t="n">
        <x:v>1</x:v>
      </x:c>
      <x:c r="J74" s="18" t="n">
        <x:v>0.5</x:v>
      </x:c>
      <x:c r="K74" s="18" t="n">
        <x:f>I74+J74</x:f>
        <x:v>1.5</x:v>
      </x:c>
      <x:c r="L74" s="18" t="n">
        <x:v>0</x:v>
      </x:c>
      <x:c r="M74" s="18" t="n">
        <x:v>0</x:v>
      </x:c>
      <x:c r="N74" s="18" t="n">
        <x:f>L74+M74</x:f>
        <x:v>0</x:v>
      </x:c>
      <x:c r="O74" s="18" t="n">
        <x:f>MAX(0,G74-I74-J74)</x:f>
        <x:v>4.5</x:v>
      </x:c>
      <x:c r="P74" s="18" t="n">
        <x:f>MAX(0,G74-8)</x:f>
        <x:v>0</x:v>
      </x:c>
      <x:c r="Q74" s="18" t="n">
        <x:f>ROUND(MIN(100,MAX(0,(O74/6.5)*100-N74*3+P74*4)),1)</x:f>
        <x:v>69.2</x:v>
      </x:c>
      <x:c r="R74" s="17" t="str">
        <x:f>IF(Q74&gt;=85,"High",IF(Q74&gt;=65,"Medium","Low"))</x:f>
        <x:v>Medium</x:v>
      </x:c>
      <x:c r="S74" s="17" t="str">
        <x:f>IF(L74&gt;=8,"Leave",IF(L74&gt;0,"Half Day",IF(M74&gt;0,"Permission",IF(P74&gt;0,"Overtime","Regular"))))</x:f>
        <x:v>Regular</x:v>
      </x:c>
    </x:row>
    <x:row r="75">
      <x:c r="A75" s="16" t="n">
        <x:v>46156</x:v>
      </x:c>
      <x:c r="B75" s="17" t="str">
        <x:v>Thursday</x:v>
      </x:c>
      <x:c r="C75" s="17" t="str">
        <x:v>EMP002</x:v>
      </x:c>
      <x:c r="D75" s="17" t="str">
        <x:v>Diya</x:v>
      </x:c>
      <x:c r="E75" s="17" t="str">
        <x:v>Workload Balancing Dashboard</x:v>
      </x:c>
      <x:c r="F75" s="17" t="str">
        <x:v>Deployment</x:v>
      </x:c>
      <x:c r="G75" s="18" t="n">
        <x:v>6</x:v>
      </x:c>
      <x:c r="H75" s="18" t="n">
        <x:v>6</x:v>
      </x:c>
      <x:c r="I75" s="18" t="n">
        <x:v>1</x:v>
      </x:c>
      <x:c r="J75" s="18" t="n">
        <x:v>0.5</x:v>
      </x:c>
      <x:c r="K75" s="18" t="n">
        <x:f>I75+J75</x:f>
        <x:v>1.5</x:v>
      </x:c>
      <x:c r="L75" s="18" t="n">
        <x:v>0</x:v>
      </x:c>
      <x:c r="M75" s="18" t="n">
        <x:v>0</x:v>
      </x:c>
      <x:c r="N75" s="18" t="n">
        <x:f>L75+M75</x:f>
        <x:v>0</x:v>
      </x:c>
      <x:c r="O75" s="18" t="n">
        <x:f>MAX(0,G75-I75-J75)</x:f>
        <x:v>4.5</x:v>
      </x:c>
      <x:c r="P75" s="18" t="n">
        <x:f>MAX(0,G75-8)</x:f>
        <x:v>0</x:v>
      </x:c>
      <x:c r="Q75" s="18" t="n">
        <x:f>ROUND(MIN(100,MAX(0,(O75/6.5)*100-N75*3+P75*4)),1)</x:f>
        <x:v>69.2</x:v>
      </x:c>
      <x:c r="R75" s="17" t="str">
        <x:f>IF(Q75&gt;=85,"High",IF(Q75&gt;=65,"Medium","Low"))</x:f>
        <x:v>Medium</x:v>
      </x:c>
      <x:c r="S75" s="17" t="str">
        <x:f>IF(L75&gt;=8,"Leave",IF(L75&gt;0,"Half Day",IF(M75&gt;0,"Permission",IF(P75&gt;0,"Overtime","Regular"))))</x:f>
        <x:v>Regular</x:v>
      </x:c>
    </x:row>
    <x:row r="76">
      <x:c r="A76" s="16" t="n">
        <x:v>46157</x:v>
      </x:c>
      <x:c r="B76" s="17" t="str">
        <x:v>Friday</x:v>
      </x:c>
      <x:c r="C76" s="17" t="str">
        <x:v>EMP003</x:v>
      </x:c>
      <x:c r="D76" s="17" t="str">
        <x:v>Kavin</x:v>
      </x:c>
      <x:c r="E76" s="17" t="str">
        <x:v>Task Time Prediction Model</x:v>
      </x:c>
      <x:c r="F76" s="17" t="str">
        <x:v>Documentation</x:v>
      </x:c>
      <x:c r="G76" s="18" t="n">
        <x:v>8.5</x:v>
      </x:c>
      <x:c r="H76" s="18" t="n">
        <x:v>8</x:v>
      </x:c>
      <x:c r="I76" s="18" t="n">
        <x:v>1</x:v>
      </x:c>
      <x:c r="J76" s="18" t="n">
        <x:v>0.5</x:v>
      </x:c>
      <x:c r="K76" s="18" t="n">
        <x:f>I76+J76</x:f>
        <x:v>1.5</x:v>
      </x:c>
      <x:c r="L76" s="18" t="n">
        <x:v>0</x:v>
      </x:c>
      <x:c r="M76" s="18" t="n">
        <x:v>0</x:v>
      </x:c>
      <x:c r="N76" s="18" t="n">
        <x:f>L76+M76</x:f>
        <x:v>0</x:v>
      </x:c>
      <x:c r="O76" s="18" t="n">
        <x:f>MAX(0,G76-I76-J76)</x:f>
        <x:v>7</x:v>
      </x:c>
      <x:c r="P76" s="18" t="n">
        <x:f>MAX(0,G76-8)</x:f>
        <x:v>0.5</x:v>
      </x:c>
      <x:c r="Q76" s="18" t="n">
        <x:f>ROUND(MIN(100,MAX(0,(O76/6.5)*100-N76*3+P76*4)),1)</x:f>
        <x:v>100</x:v>
      </x:c>
      <x:c r="R76" s="17" t="str">
        <x:f>IF(Q76&gt;=85,"High",IF(Q76&gt;=65,"Medium","Low"))</x:f>
        <x:v>High</x:v>
      </x:c>
      <x:c r="S76" s="17" t="str">
        <x:f>IF(L76&gt;=8,"Leave",IF(L76&gt;0,"Half Day",IF(M76&gt;0,"Permission",IF(P76&gt;0,"Overtime","Regular"))))</x:f>
        <x:v>Overtime</x:v>
      </x:c>
    </x:row>
    <x:row r="77">
      <x:c r="A77" s="16" t="n">
        <x:v>46158</x:v>
      </x:c>
      <x:c r="B77" s="17" t="str">
        <x:v>Saturday</x:v>
      </x:c>
      <x:c r="C77" s="17" t="str">
        <x:v>EMP004</x:v>
      </x:c>
      <x:c r="D77" s="17" t="str">
        <x:v>Meera</x:v>
      </x:c>
      <x:c r="E77" s="17" t="str">
        <x:v>AI Employee Productivity Tracker</x:v>
      </x:c>
      <x:c r="F77" s="17" t="str">
        <x:v>Model Training</x:v>
      </x:c>
      <x:c r="G77" s="18" t="n">
        <x:v>2</x:v>
      </x:c>
      <x:c r="H77" s="18" t="n">
        <x:v>2</x:v>
      </x:c>
      <x:c r="I77" s="18" t="n">
        <x:v>0.5</x:v>
      </x:c>
      <x:c r="J77" s="18" t="n">
        <x:v>0.25</x:v>
      </x:c>
      <x:c r="K77" s="18" t="n">
        <x:f>I77+J77</x:f>
        <x:v>0.75</x:v>
      </x:c>
      <x:c r="L77" s="18" t="n">
        <x:v>0</x:v>
      </x:c>
      <x:c r="M77" s="18" t="n">
        <x:v>0</x:v>
      </x:c>
      <x:c r="N77" s="18" t="n">
        <x:f>L77+M77</x:f>
        <x:v>0</x:v>
      </x:c>
      <x:c r="O77" s="18" t="n">
        <x:f>MAX(0,G77-I77-J77)</x:f>
        <x:v>1.25</x:v>
      </x:c>
      <x:c r="P77" s="18" t="n">
        <x:f>MAX(0,G77-8)</x:f>
        <x:v>0</x:v>
      </x:c>
      <x:c r="Q77" s="18" t="n">
        <x:f>ROUND(MIN(100,MAX(0,(O77/6.5)*100-N77*3+P77*4)),1)</x:f>
        <x:v>19.2</x:v>
      </x:c>
      <x:c r="R77" s="17" t="str">
        <x:f>IF(Q77&gt;=85,"High",IF(Q77&gt;=65,"Medium","Low"))</x:f>
        <x:v>Low</x:v>
      </x:c>
      <x:c r="S77" s="17" t="str">
        <x:f>IF(L77&gt;=8,"Leave",IF(L77&gt;0,"Half Day",IF(M77&gt;0,"Permission",IF(P77&gt;0,"Overtime","Regular"))))</x:f>
        <x:v>Regular</x:v>
      </x:c>
    </x:row>
    <x:row r="78">
      <x:c r="A78" s="16" t="n">
        <x:v>46159</x:v>
      </x:c>
      <x:c r="B78" s="17" t="str">
        <x:v>Sunday</x:v>
      </x:c>
      <x:c r="C78" s="17" t="str">
        <x:v>EMP005</x:v>
      </x:c>
      <x:c r="D78" s="17" t="str">
        <x:v>Rahul</x:v>
      </x:c>
      <x:c r="E78" s="17" t="str">
        <x:v>Project Cost Estimator</x:v>
      </x:c>
      <x:c r="F78" s="17" t="str">
        <x:v>Data Cleaning</x:v>
      </x:c>
      <x:c r="G78" s="18" t="n">
        <x:v>2</x:v>
      </x:c>
      <x:c r="H78" s="18" t="n">
        <x:v>2</x:v>
      </x:c>
      <x:c r="I78" s="18" t="n">
        <x:v>0.5</x:v>
      </x:c>
      <x:c r="J78" s="18" t="n">
        <x:v>0.25</x:v>
      </x:c>
      <x:c r="K78" s="18" t="n">
        <x:f>I78+J78</x:f>
        <x:v>0.75</x:v>
      </x:c>
      <x:c r="L78" s="18" t="n">
        <x:v>0</x:v>
      </x:c>
      <x:c r="M78" s="18" t="n">
        <x:v>0</x:v>
      </x:c>
      <x:c r="N78" s="18" t="n">
        <x:f>L78+M78</x:f>
        <x:v>0</x:v>
      </x:c>
      <x:c r="O78" s="18" t="n">
        <x:f>MAX(0,G78-I78-J78)</x:f>
        <x:v>1.25</x:v>
      </x:c>
      <x:c r="P78" s="18" t="n">
        <x:f>MAX(0,G78-8)</x:f>
        <x:v>0</x:v>
      </x:c>
      <x:c r="Q78" s="18" t="n">
        <x:f>ROUND(MIN(100,MAX(0,(O78/6.5)*100-N78*3+P78*4)),1)</x:f>
        <x:v>19.2</x:v>
      </x:c>
      <x:c r="R78" s="17" t="str">
        <x:f>IF(Q78&gt;=85,"High",IF(Q78&gt;=65,"Medium","Low"))</x:f>
        <x:v>Low</x:v>
      </x:c>
      <x:c r="S78" s="17" t="str">
        <x:f>IF(L78&gt;=8,"Leave",IF(L78&gt;0,"Half Day",IF(M78&gt;0,"Permission",IF(P78&gt;0,"Overtime","Regular"))))</x:f>
        <x:v>Regular</x:v>
      </x:c>
    </x:row>
    <x:row r="79">
      <x:c r="A79" s="16" t="n">
        <x:v>46160</x:v>
      </x:c>
      <x:c r="B79" s="17" t="str">
        <x:v>Monday</x:v>
      </x:c>
      <x:c r="C79" s="17" t="str">
        <x:v>EMP006</x:v>
      </x:c>
      <x:c r="D79" s="17" t="str">
        <x:v>Swathi</x:v>
      </x:c>
      <x:c r="E79" s="17" t="str">
        <x:v>AI Employee Productivity Tracker</x:v>
      </x:c>
      <x:c r="F79" s="17" t="str">
        <x:v>Bug Fixing</x:v>
      </x:c>
      <x:c r="G79" s="18" t="n">
        <x:v>4</x:v>
      </x:c>
      <x:c r="H79" s="18" t="n">
        <x:v>4</x:v>
      </x:c>
      <x:c r="I79" s="18" t="n">
        <x:v>0.5</x:v>
      </x:c>
      <x:c r="J79" s="18" t="n">
        <x:v>0.25</x:v>
      </x:c>
      <x:c r="K79" s="18" t="n">
        <x:f>I79+J79</x:f>
        <x:v>0.75</x:v>
      </x:c>
      <x:c r="L79" s="18" t="n">
        <x:v>0</x:v>
      </x:c>
      <x:c r="M79" s="18" t="n">
        <x:v>2</x:v>
      </x:c>
      <x:c r="N79" s="18" t="n">
        <x:f>L79+M79</x:f>
        <x:v>2</x:v>
      </x:c>
      <x:c r="O79" s="18" t="n">
        <x:f>MAX(0,G79-I79-J79)</x:f>
        <x:v>3.25</x:v>
      </x:c>
      <x:c r="P79" s="18" t="n">
        <x:f>MAX(0,G79-8)</x:f>
        <x:v>0</x:v>
      </x:c>
      <x:c r="Q79" s="18" t="n">
        <x:f>ROUND(MIN(100,MAX(0,(O79/6.5)*100-N79*3+P79*4)),1)</x:f>
        <x:v>44</x:v>
      </x:c>
      <x:c r="R79" s="17" t="str">
        <x:f>IF(Q79&gt;=85,"High",IF(Q79&gt;=65,"Medium","Low"))</x:f>
        <x:v>Low</x:v>
      </x:c>
      <x:c r="S79" s="17" t="str">
        <x:f>IF(L79&gt;=8,"Leave",IF(L79&gt;0,"Half Day",IF(M79&gt;0,"Permission",IF(P79&gt;0,"Overtime","Regular"))))</x:f>
        <x:v>Permission</x:v>
      </x:c>
    </x:row>
    <x:row r="80">
      <x:c r="A80" s="16" t="n">
        <x:v>46161</x:v>
      </x:c>
      <x:c r="B80" s="17" t="str">
        <x:v>Tuesday</x:v>
      </x:c>
      <x:c r="C80" s="17" t="str">
        <x:v>EMP007</x:v>
      </x:c>
      <x:c r="D80" s="17" t="str">
        <x:v>Nisha</x:v>
      </x:c>
      <x:c r="E80" s="17" t="str">
        <x:v>Project Cost Estimator</x:v>
      </x:c>
      <x:c r="F80" s="17" t="str">
        <x:v>Dashboard Design</x:v>
      </x:c>
      <x:c r="G80" s="18" t="n">
        <x:v>9</x:v>
      </x:c>
      <x:c r="H80" s="18" t="n">
        <x:v>8</x:v>
      </x:c>
      <x:c r="I80" s="18" t="n">
        <x:v>1</x:v>
      </x:c>
      <x:c r="J80" s="18" t="n">
        <x:v>0.5</x:v>
      </x:c>
      <x:c r="K80" s="18" t="n">
        <x:f>I80+J80</x:f>
        <x:v>1.5</x:v>
      </x:c>
      <x:c r="L80" s="18" t="n">
        <x:v>0</x:v>
      </x:c>
      <x:c r="M80" s="18" t="n">
        <x:v>0</x:v>
      </x:c>
      <x:c r="N80" s="18" t="n">
        <x:f>L80+M80</x:f>
        <x:v>0</x:v>
      </x:c>
      <x:c r="O80" s="18" t="n">
        <x:f>MAX(0,G80-I80-J80)</x:f>
        <x:v>7.5</x:v>
      </x:c>
      <x:c r="P80" s="18" t="n">
        <x:f>MAX(0,G80-8)</x:f>
        <x:v>1</x:v>
      </x:c>
      <x:c r="Q80" s="18" t="n">
        <x:f>ROUND(MIN(100,MAX(0,(O80/6.5)*100-N80*3+P80*4)),1)</x:f>
        <x:v>100</x:v>
      </x:c>
      <x:c r="R80" s="17" t="str">
        <x:f>IF(Q80&gt;=85,"High",IF(Q80&gt;=65,"Medium","Low"))</x:f>
        <x:v>High</x:v>
      </x:c>
      <x:c r="S80" s="17" t="str">
        <x:f>IF(L80&gt;=8,"Leave",IF(L80&gt;0,"Half Day",IF(M80&gt;0,"Permission",IF(P80&gt;0,"Overtime","Regular"))))</x:f>
        <x:v>Overtime</x:v>
      </x:c>
    </x:row>
    <x:row r="81">
      <x:c r="A81" s="16" t="n">
        <x:v>46162</x:v>
      </x:c>
      <x:c r="B81" s="17" t="str">
        <x:v>Wednesday</x:v>
      </x:c>
      <x:c r="C81" s="17" t="str">
        <x:v>EMP008</x:v>
      </x:c>
      <x:c r="D81" s="17" t="str">
        <x:v>Vikram</x:v>
      </x:c>
      <x:c r="E81" s="17" t="str">
        <x:v>AI Employee Productivity Tracker</x:v>
      </x:c>
      <x:c r="F81" s="17" t="str">
        <x:v>Feature Engineering</x:v>
      </x:c>
      <x:c r="G81" s="18" t="n">
        <x:v>7.5</x:v>
      </x:c>
      <x:c r="H81" s="18" t="n">
        <x:v>7.5</x:v>
      </x:c>
      <x:c r="I81" s="18" t="n">
        <x:v>1</x:v>
      </x:c>
      <x:c r="J81" s="18" t="n">
        <x:v>0.5</x:v>
      </x:c>
      <x:c r="K81" s="18" t="n">
        <x:f>I81+J81</x:f>
        <x:v>1.5</x:v>
      </x:c>
      <x:c r="L81" s="18" t="n">
        <x:v>0</x:v>
      </x:c>
      <x:c r="M81" s="18" t="n">
        <x:v>0</x:v>
      </x:c>
      <x:c r="N81" s="18" t="n">
        <x:f>L81+M81</x:f>
        <x:v>0</x:v>
      </x:c>
      <x:c r="O81" s="18" t="n">
        <x:f>MAX(0,G81-I81-J81)</x:f>
        <x:v>6</x:v>
      </x:c>
      <x:c r="P81" s="18" t="n">
        <x:f>MAX(0,G81-8)</x:f>
        <x:v>0</x:v>
      </x:c>
      <x:c r="Q81" s="18" t="n">
        <x:f>ROUND(MIN(100,MAX(0,(O81/6.5)*100-N81*3+P81*4)),1)</x:f>
        <x:v>92.3</x:v>
      </x:c>
      <x:c r="R81" s="17" t="str">
        <x:f>IF(Q81&gt;=85,"High",IF(Q81&gt;=65,"Medium","Low"))</x:f>
        <x:v>High</x:v>
      </x:c>
      <x:c r="S81" s="17" t="str">
        <x:f>IF(L81&gt;=8,"Leave",IF(L81&gt;0,"Half Day",IF(M81&gt;0,"Permission",IF(P81&gt;0,"Overtime","Regular"))))</x:f>
        <x:v>Regular</x:v>
      </x:c>
    </x:row>
    <x:row r="82">
      <x:c r="A82" s="16" t="n">
        <x:v>46143</x:v>
      </x:c>
      <x:c r="B82" s="17" t="str">
        <x:v>Friday</x:v>
      </x:c>
      <x:c r="C82" s="17" t="str">
        <x:v>EMP001</x:v>
      </x:c>
      <x:c r="D82" s="17" t="str">
        <x:v>Aarav</x:v>
      </x:c>
      <x:c r="E82" s="17" t="str">
        <x:v>Leave Pattern Analysis</x:v>
      </x:c>
      <x:c r="F82" s="17" t="str">
        <x:v>Data Collection</x:v>
      </x:c>
      <x:c r="G82" s="18" t="n">
        <x:v>7</x:v>
      </x:c>
      <x:c r="H82" s="18" t="n">
        <x:v>7</x:v>
      </x:c>
      <x:c r="I82" s="18" t="n">
        <x:v>1</x:v>
      </x:c>
      <x:c r="J82" s="18" t="n">
        <x:v>0.5</x:v>
      </x:c>
      <x:c r="K82" s="18" t="n">
        <x:f>I82+J82</x:f>
        <x:v>1.5</x:v>
      </x:c>
      <x:c r="L82" s="18" t="n">
        <x:v>0</x:v>
      </x:c>
      <x:c r="M82" s="18" t="n">
        <x:v>0</x:v>
      </x:c>
      <x:c r="N82" s="18" t="n">
        <x:f>L82+M82</x:f>
        <x:v>0</x:v>
      </x:c>
      <x:c r="O82" s="18" t="n">
        <x:f>MAX(0,G82-I82-J82)</x:f>
        <x:v>5.5</x:v>
      </x:c>
      <x:c r="P82" s="18" t="n">
        <x:f>MAX(0,G82-8)</x:f>
        <x:v>0</x:v>
      </x:c>
      <x:c r="Q82" s="18" t="n">
        <x:f>ROUND(MIN(100,MAX(0,(O82/6.5)*100-N82*3+P82*4)),1)</x:f>
        <x:v>84.6</x:v>
      </x:c>
      <x:c r="R82" s="17" t="str">
        <x:f>IF(Q82&gt;=85,"High",IF(Q82&gt;=65,"Medium","Low"))</x:f>
        <x:v>Medium</x:v>
      </x:c>
      <x:c r="S82" s="17" t="str">
        <x:f>IF(L82&gt;=8,"Leave",IF(L82&gt;0,"Half Day",IF(M82&gt;0,"Permission",IF(P82&gt;0,"Overtime","Regular"))))</x:f>
        <x:v>Regular</x:v>
      </x:c>
    </x:row>
    <x:row r="83">
      <x:c r="A83" s="16" t="n">
        <x:v>46144</x:v>
      </x:c>
      <x:c r="B83" s="17" t="str">
        <x:v>Saturday</x:v>
      </x:c>
      <x:c r="C83" s="17" t="str">
        <x:v>EMP002</x:v>
      </x:c>
      <x:c r="D83" s="17" t="str">
        <x:v>Diya</x:v>
      </x:c>
      <x:c r="E83" s="17" t="str">
        <x:v>Smart Attendance Analytics</x:v>
      </x:c>
      <x:c r="F83" s="17" t="str">
        <x:v>Client Review</x:v>
      </x:c>
      <x:c r="G83" s="18" t="n">
        <x:v>4</x:v>
      </x:c>
      <x:c r="H83" s="18" t="n">
        <x:v>4</x:v>
      </x:c>
      <x:c r="I83" s="18" t="n">
        <x:v>0.5</x:v>
      </x:c>
      <x:c r="J83" s="18" t="n">
        <x:v>0.25</x:v>
      </x:c>
      <x:c r="K83" s="18" t="n">
        <x:f>I83+J83</x:f>
        <x:v>0.75</x:v>
      </x:c>
      <x:c r="L83" s="18" t="n">
        <x:v>0</x:v>
      </x:c>
      <x:c r="M83" s="18" t="n">
        <x:v>0</x:v>
      </x:c>
      <x:c r="N83" s="18" t="n">
        <x:f>L83+M83</x:f>
        <x:v>0</x:v>
      </x:c>
      <x:c r="O83" s="18" t="n">
        <x:f>MAX(0,G83-I83-J83)</x:f>
        <x:v>3.25</x:v>
      </x:c>
      <x:c r="P83" s="18" t="n">
        <x:f>MAX(0,G83-8)</x:f>
        <x:v>0</x:v>
      </x:c>
      <x:c r="Q83" s="18" t="n">
        <x:f>ROUND(MIN(100,MAX(0,(O83/6.5)*100-N83*3+P83*4)),1)</x:f>
        <x:v>50</x:v>
      </x:c>
      <x:c r="R83" s="17" t="str">
        <x:f>IF(Q83&gt;=85,"High",IF(Q83&gt;=65,"Medium","Low"))</x:f>
        <x:v>Low</x:v>
      </x:c>
      <x:c r="S83" s="17" t="str">
        <x:f>IF(L83&gt;=8,"Leave",IF(L83&gt;0,"Half Day",IF(M83&gt;0,"Permission",IF(P83&gt;0,"Overtime","Regular"))))</x:f>
        <x:v>Regular</x:v>
      </x:c>
    </x:row>
    <x:row r="84">
      <x:c r="A84" s="16" t="n">
        <x:v>46145</x:v>
      </x:c>
      <x:c r="B84" s="17" t="str">
        <x:v>Sunday</x:v>
      </x:c>
      <x:c r="C84" s="17" t="str">
        <x:v>EMP003</x:v>
      </x:c>
      <x:c r="D84" s="17" t="str">
        <x:v>Kavin</x:v>
      </x:c>
      <x:c r="E84" s="17" t="str">
        <x:v>Leave Pattern Analysis</x:v>
      </x:c>
      <x:c r="F84" s="17" t="str">
        <x:v>Model Testing</x:v>
      </x:c>
      <x:c r="G84" s="18" t="n">
        <x:v>0</x:v>
      </x:c>
      <x:c r="H84" s="18" t="n">
        <x:v>0</x:v>
      </x:c>
      <x:c r="I84" s="18" t="n">
        <x:v>0</x:v>
      </x:c>
      <x:c r="J84" s="18" t="n">
        <x:v>0</x:v>
      </x:c>
      <x:c r="K84" s="18" t="n">
        <x:f>I84+J84</x:f>
        <x:v>0</x:v>
      </x:c>
      <x:c r="L84" s="18" t="n">
        <x:v>0</x:v>
      </x:c>
      <x:c r="M84" s="18" t="n">
        <x:v>0</x:v>
      </x:c>
      <x:c r="N84" s="18" t="n">
        <x:f>L84+M84</x:f>
        <x:v>0</x:v>
      </x:c>
      <x:c r="O84" s="18" t="n">
        <x:f>MAX(0,G84-I84-J84)</x:f>
        <x:v>0</x:v>
      </x:c>
      <x:c r="P84" s="18" t="n">
        <x:f>MAX(0,G84-8)</x:f>
        <x:v>0</x:v>
      </x:c>
      <x:c r="Q84" s="18" t="n">
        <x:f>ROUND(MIN(100,MAX(0,(O84/6.5)*100-N84*3+P84*4)),1)</x:f>
        <x:v>0</x:v>
      </x:c>
      <x:c r="R84" s="17" t="str">
        <x:f>IF(Q84&gt;=85,"High",IF(Q84&gt;=65,"Medium","Low"))</x:f>
        <x:v>Low</x:v>
      </x:c>
      <x:c r="S84" s="17" t="str">
        <x:f>IF(L84&gt;=8,"Leave",IF(L84&gt;0,"Half Day",IF(M84&gt;0,"Permission",IF(P84&gt;0,"Overtime","Regular"))))</x:f>
        <x:v>Regular</x:v>
      </x:c>
    </x:row>
    <x:row r="85">
      <x:c r="A85" s="16" t="n">
        <x:v>46146</x:v>
      </x:c>
      <x:c r="B85" s="17" t="str">
        <x:v>Monday</x:v>
      </x:c>
      <x:c r="C85" s="17" t="str">
        <x:v>EMP004</x:v>
      </x:c>
      <x:c r="D85" s="17" t="str">
        <x:v>Meera</x:v>
      </x:c>
      <x:c r="E85" s="17" t="str">
        <x:v>Smart Attendance Analytics</x:v>
      </x:c>
      <x:c r="F85" s="17" t="str">
        <x:v>Data Cleaning</x:v>
      </x:c>
      <x:c r="G85" s="18" t="n">
        <x:v>7.5</x:v>
      </x:c>
      <x:c r="H85" s="18" t="n">
        <x:v>7.5</x:v>
      </x:c>
      <x:c r="I85" s="18" t="n">
        <x:v>1</x:v>
      </x:c>
      <x:c r="J85" s="18" t="n">
        <x:v>0.5</x:v>
      </x:c>
      <x:c r="K85" s="18" t="n">
        <x:f>I85+J85</x:f>
        <x:v>1.5</x:v>
      </x:c>
      <x:c r="L85" s="18" t="n">
        <x:v>0</x:v>
      </x:c>
      <x:c r="M85" s="18" t="n">
        <x:v>0</x:v>
      </x:c>
      <x:c r="N85" s="18" t="n">
        <x:f>L85+M85</x:f>
        <x:v>0</x:v>
      </x:c>
      <x:c r="O85" s="18" t="n">
        <x:f>MAX(0,G85-I85-J85)</x:f>
        <x:v>6</x:v>
      </x:c>
      <x:c r="P85" s="18" t="n">
        <x:f>MAX(0,G85-8)</x:f>
        <x:v>0</x:v>
      </x:c>
      <x:c r="Q85" s="18" t="n">
        <x:f>ROUND(MIN(100,MAX(0,(O85/6.5)*100-N85*3+P85*4)),1)</x:f>
        <x:v>92.3</x:v>
      </x:c>
      <x:c r="R85" s="17" t="str">
        <x:f>IF(Q85&gt;=85,"High",IF(Q85&gt;=65,"Medium","Low"))</x:f>
        <x:v>High</x:v>
      </x:c>
      <x:c r="S85" s="17" t="str">
        <x:f>IF(L85&gt;=8,"Leave",IF(L85&gt;0,"Half Day",IF(M85&gt;0,"Permission",IF(P85&gt;0,"Overtime","Regular"))))</x:f>
        <x:v>Regular</x:v>
      </x:c>
    </x:row>
    <x:row r="86">
      <x:c r="A86" s="16" t="n">
        <x:v>46147</x:v>
      </x:c>
      <x:c r="B86" s="17" t="str">
        <x:v>Tuesday</x:v>
      </x:c>
      <x:c r="C86" s="17" t="str">
        <x:v>EMP005</x:v>
      </x:c>
      <x:c r="D86" s="17" t="str">
        <x:v>Rahul</x:v>
      </x:c>
      <x:c r="E86" s="17" t="str">
        <x:v>Leave Pattern Analysis</x:v>
      </x:c>
      <x:c r="F86" s="17" t="str">
        <x:v>Deployment</x:v>
      </x:c>
      <x:c r="G86" s="18" t="n">
        <x:v>8.5</x:v>
      </x:c>
      <x:c r="H86" s="18" t="n">
        <x:v>8</x:v>
      </x:c>
      <x:c r="I86" s="18" t="n">
        <x:v>1</x:v>
      </x:c>
      <x:c r="J86" s="18" t="n">
        <x:v>0.5</x:v>
      </x:c>
      <x:c r="K86" s="18" t="n">
        <x:f>I86+J86</x:f>
        <x:v>1.5</x:v>
      </x:c>
      <x:c r="L86" s="18" t="n">
        <x:v>0</x:v>
      </x:c>
      <x:c r="M86" s="18" t="n">
        <x:v>0</x:v>
      </x:c>
      <x:c r="N86" s="18" t="n">
        <x:f>L86+M86</x:f>
        <x:v>0</x:v>
      </x:c>
      <x:c r="O86" s="18" t="n">
        <x:f>MAX(0,G86-I86-J86)</x:f>
        <x:v>7</x:v>
      </x:c>
      <x:c r="P86" s="18" t="n">
        <x:f>MAX(0,G86-8)</x:f>
        <x:v>0.5</x:v>
      </x:c>
      <x:c r="Q86" s="18" t="n">
        <x:f>ROUND(MIN(100,MAX(0,(O86/6.5)*100-N86*3+P86*4)),1)</x:f>
        <x:v>100</x:v>
      </x:c>
      <x:c r="R86" s="17" t="str">
        <x:f>IF(Q86&gt;=85,"High",IF(Q86&gt;=65,"Medium","Low"))</x:f>
        <x:v>High</x:v>
      </x:c>
      <x:c r="S86" s="17" t="str">
        <x:f>IF(L86&gt;=8,"Leave",IF(L86&gt;0,"Half Day",IF(M86&gt;0,"Permission",IF(P86&gt;0,"Overtime","Regular"))))</x:f>
        <x:v>Overtime</x:v>
      </x:c>
    </x:row>
    <x:row r="87">
      <x:c r="A87" s="16" t="n">
        <x:v>46148</x:v>
      </x:c>
      <x:c r="B87" s="17" t="str">
        <x:v>Wednesday</x:v>
      </x:c>
      <x:c r="C87" s="17" t="str">
        <x:v>EMP006</x:v>
      </x:c>
      <x:c r="D87" s="17" t="str">
        <x:v>Swathi</x:v>
      </x:c>
      <x:c r="E87" s="17" t="str">
        <x:v>Task Time Prediction Model</x:v>
      </x:c>
      <x:c r="F87" s="17" t="str">
        <x:v>Documentation</x:v>
      </x:c>
      <x:c r="G87" s="18" t="n">
        <x:v>7</x:v>
      </x:c>
      <x:c r="H87" s="18" t="n">
        <x:v>7</x:v>
      </x:c>
      <x:c r="I87" s="18" t="n">
        <x:v>1</x:v>
      </x:c>
      <x:c r="J87" s="18" t="n">
        <x:v>0.5</x:v>
      </x:c>
      <x:c r="K87" s="18" t="n">
        <x:f>I87+J87</x:f>
        <x:v>1.5</x:v>
      </x:c>
      <x:c r="L87" s="18" t="n">
        <x:v>0</x:v>
      </x:c>
      <x:c r="M87" s="18" t="n">
        <x:v>0</x:v>
      </x:c>
      <x:c r="N87" s="18" t="n">
        <x:f>L87+M87</x:f>
        <x:v>0</x:v>
      </x:c>
      <x:c r="O87" s="18" t="n">
        <x:f>MAX(0,G87-I87-J87)</x:f>
        <x:v>5.5</x:v>
      </x:c>
      <x:c r="P87" s="18" t="n">
        <x:f>MAX(0,G87-8)</x:f>
        <x:v>0</x:v>
      </x:c>
      <x:c r="Q87" s="18" t="n">
        <x:f>ROUND(MIN(100,MAX(0,(O87/6.5)*100-N87*3+P87*4)),1)</x:f>
        <x:v>84.6</x:v>
      </x:c>
      <x:c r="R87" s="17" t="str">
        <x:f>IF(Q87&gt;=85,"High",IF(Q87&gt;=65,"Medium","Low"))</x:f>
        <x:v>Medium</x:v>
      </x:c>
      <x:c r="S87" s="17" t="str">
        <x:f>IF(L87&gt;=8,"Leave",IF(L87&gt;0,"Half Day",IF(M87&gt;0,"Permission",IF(P87&gt;0,"Overtime","Regular"))))</x:f>
        <x:v>Regular</x:v>
      </x:c>
    </x:row>
    <x:row r="88">
      <x:c r="A88" s="16" t="n">
        <x:v>46149</x:v>
      </x:c>
      <x:c r="B88" s="17" t="str">
        <x:v>Thursday</x:v>
      </x:c>
      <x:c r="C88" s="17" t="str">
        <x:v>EMP007</x:v>
      </x:c>
      <x:c r="D88" s="17" t="str">
        <x:v>Nisha</x:v>
      </x:c>
      <x:c r="E88" s="17" t="str">
        <x:v>Workload Balancing Dashboard</x:v>
      </x:c>
      <x:c r="F88" s="17" t="str">
        <x:v>Model Training</x:v>
      </x:c>
      <x:c r="G88" s="18" t="n">
        <x:v>7</x:v>
      </x:c>
      <x:c r="H88" s="18" t="n">
        <x:v>7</x:v>
      </x:c>
      <x:c r="I88" s="18" t="n">
        <x:v>1</x:v>
      </x:c>
      <x:c r="J88" s="18" t="n">
        <x:v>0.5</x:v>
      </x:c>
      <x:c r="K88" s="18" t="n">
        <x:f>I88+J88</x:f>
        <x:v>1.5</x:v>
      </x:c>
      <x:c r="L88" s="18" t="n">
        <x:v>0</x:v>
      </x:c>
      <x:c r="M88" s="18" t="n">
        <x:v>0</x:v>
      </x:c>
      <x:c r="N88" s="18" t="n">
        <x:f>L88+M88</x:f>
        <x:v>0</x:v>
      </x:c>
      <x:c r="O88" s="18" t="n">
        <x:f>MAX(0,G88-I88-J88)</x:f>
        <x:v>5.5</x:v>
      </x:c>
      <x:c r="P88" s="18" t="n">
        <x:f>MAX(0,G88-8)</x:f>
        <x:v>0</x:v>
      </x:c>
      <x:c r="Q88" s="18" t="n">
        <x:f>ROUND(MIN(100,MAX(0,(O88/6.5)*100-N88*3+P88*4)),1)</x:f>
        <x:v>84.6</x:v>
      </x:c>
      <x:c r="R88" s="17" t="str">
        <x:f>IF(Q88&gt;=85,"High",IF(Q88&gt;=65,"Medium","Low"))</x:f>
        <x:v>Medium</x:v>
      </x:c>
      <x:c r="S88" s="17" t="str">
        <x:f>IF(L88&gt;=8,"Leave",IF(L88&gt;0,"Half Day",IF(M88&gt;0,"Permission",IF(P88&gt;0,"Overtime","Regular"))))</x:f>
        <x:v>Regular</x:v>
      </x:c>
    </x:row>
    <x:row r="89">
      <x:c r="A89" s="16" t="n">
        <x:v>46150</x:v>
      </x:c>
      <x:c r="B89" s="17" t="str">
        <x:v>Friday</x:v>
      </x:c>
      <x:c r="C89" s="17" t="str">
        <x:v>EMP008</x:v>
      </x:c>
      <x:c r="D89" s="17" t="str">
        <x:v>Vikram</x:v>
      </x:c>
      <x:c r="E89" s="17" t="str">
        <x:v>Task Time Prediction Model</x:v>
      </x:c>
      <x:c r="F89" s="17" t="str">
        <x:v>Data Collection</x:v>
      </x:c>
      <x:c r="G89" s="18" t="n">
        <x:v>8.5</x:v>
      </x:c>
      <x:c r="H89" s="18" t="n">
        <x:v>8</x:v>
      </x:c>
      <x:c r="I89" s="18" t="n">
        <x:v>1</x:v>
      </x:c>
      <x:c r="J89" s="18" t="n">
        <x:v>0.5</x:v>
      </x:c>
      <x:c r="K89" s="18" t="n">
        <x:f>I89+J89</x:f>
        <x:v>1.5</x:v>
      </x:c>
      <x:c r="L89" s="18" t="n">
        <x:v>0</x:v>
      </x:c>
      <x:c r="M89" s="18" t="n">
        <x:v>0</x:v>
      </x:c>
      <x:c r="N89" s="18" t="n">
        <x:f>L89+M89</x:f>
        <x:v>0</x:v>
      </x:c>
      <x:c r="O89" s="18" t="n">
        <x:f>MAX(0,G89-I89-J89)</x:f>
        <x:v>7</x:v>
      </x:c>
      <x:c r="P89" s="18" t="n">
        <x:f>MAX(0,G89-8)</x:f>
        <x:v>0.5</x:v>
      </x:c>
      <x:c r="Q89" s="18" t="n">
        <x:f>ROUND(MIN(100,MAX(0,(O89/6.5)*100-N89*3+P89*4)),1)</x:f>
        <x:v>100</x:v>
      </x:c>
      <x:c r="R89" s="17" t="str">
        <x:f>IF(Q89&gt;=85,"High",IF(Q89&gt;=65,"Medium","Low"))</x:f>
        <x:v>High</x:v>
      </x:c>
      <x:c r="S89" s="17" t="str">
        <x:f>IF(L89&gt;=8,"Leave",IF(L89&gt;0,"Half Day",IF(M89&gt;0,"Permission",IF(P89&gt;0,"Overtime","Regular"))))</x:f>
        <x:v>Overtime</x:v>
      </x:c>
    </x:row>
    <x:row r="90">
      <x:c r="A90" s="16" t="n">
        <x:v>46151</x:v>
      </x:c>
      <x:c r="B90" s="17" t="str">
        <x:v>Saturday</x:v>
      </x:c>
      <x:c r="C90" s="17" t="str">
        <x:v>EMP001</x:v>
      </x:c>
      <x:c r="D90" s="17" t="str">
        <x:v>Aarav</x:v>
      </x:c>
      <x:c r="E90" s="17" t="str">
        <x:v>Workload Balancing Dashboard</x:v>
      </x:c>
      <x:c r="F90" s="17" t="str">
        <x:v>Bug Fixing</x:v>
      </x:c>
      <x:c r="G90" s="18" t="n">
        <x:v>0</x:v>
      </x:c>
      <x:c r="H90" s="18" t="n">
        <x:v>0</x:v>
      </x:c>
      <x:c r="I90" s="18" t="n">
        <x:v>0</x:v>
      </x:c>
      <x:c r="J90" s="18" t="n">
        <x:v>0</x:v>
      </x:c>
      <x:c r="K90" s="18" t="n">
        <x:f>I90+J90</x:f>
        <x:v>0</x:v>
      </x:c>
      <x:c r="L90" s="18" t="n">
        <x:v>0</x:v>
      </x:c>
      <x:c r="M90" s="18" t="n">
        <x:v>0</x:v>
      </x:c>
      <x:c r="N90" s="18" t="n">
        <x:f>L90+M90</x:f>
        <x:v>0</x:v>
      </x:c>
      <x:c r="O90" s="18" t="n">
        <x:f>MAX(0,G90-I90-J90)</x:f>
        <x:v>0</x:v>
      </x:c>
      <x:c r="P90" s="18" t="n">
        <x:f>MAX(0,G90-8)</x:f>
        <x:v>0</x:v>
      </x:c>
      <x:c r="Q90" s="18" t="n">
        <x:f>ROUND(MIN(100,MAX(0,(O90/6.5)*100-N90*3+P90*4)),1)</x:f>
        <x:v>0</x:v>
      </x:c>
      <x:c r="R90" s="17" t="str">
        <x:f>IF(Q90&gt;=85,"High",IF(Q90&gt;=65,"Medium","Low"))</x:f>
        <x:v>Low</x:v>
      </x:c>
      <x:c r="S90" s="17" t="str">
        <x:f>IF(L90&gt;=8,"Leave",IF(L90&gt;0,"Half Day",IF(M90&gt;0,"Permission",IF(P90&gt;0,"Overtime","Regular"))))</x:f>
        <x:v>Regular</x:v>
      </x:c>
    </x:row>
    <x:row r="91">
      <x:c r="A91" s="16" t="n">
        <x:v>46152</x:v>
      </x:c>
      <x:c r="B91" s="17" t="str">
        <x:v>Sunday</x:v>
      </x:c>
      <x:c r="C91" s="17" t="str">
        <x:v>EMP002</x:v>
      </x:c>
      <x:c r="D91" s="17" t="str">
        <x:v>Diya</x:v>
      </x:c>
      <x:c r="E91" s="17" t="str">
        <x:v>Task Time Prediction Model</x:v>
      </x:c>
      <x:c r="F91" s="17" t="str">
        <x:v>Dashboard Design</x:v>
      </x:c>
      <x:c r="G91" s="18" t="n">
        <x:v>4</x:v>
      </x:c>
      <x:c r="H91" s="18" t="n">
        <x:v>4</x:v>
      </x:c>
      <x:c r="I91" s="18" t="n">
        <x:v>0.5</x:v>
      </x:c>
      <x:c r="J91" s="18" t="n">
        <x:v>0.25</x:v>
      </x:c>
      <x:c r="K91" s="18" t="n">
        <x:f>I91+J91</x:f>
        <x:v>0.75</x:v>
      </x:c>
      <x:c r="L91" s="18" t="n">
        <x:v>0</x:v>
      </x:c>
      <x:c r="M91" s="18" t="n">
        <x:v>0</x:v>
      </x:c>
      <x:c r="N91" s="18" t="n">
        <x:f>L91+M91</x:f>
        <x:v>0</x:v>
      </x:c>
      <x:c r="O91" s="18" t="n">
        <x:f>MAX(0,G91-I91-J91)</x:f>
        <x:v>3.25</x:v>
      </x:c>
      <x:c r="P91" s="18" t="n">
        <x:f>MAX(0,G91-8)</x:f>
        <x:v>0</x:v>
      </x:c>
      <x:c r="Q91" s="18" t="n">
        <x:f>ROUND(MIN(100,MAX(0,(O91/6.5)*100-N91*3+P91*4)),1)</x:f>
        <x:v>50</x:v>
      </x:c>
      <x:c r="R91" s="17" t="str">
        <x:f>IF(Q91&gt;=85,"High",IF(Q91&gt;=65,"Medium","Low"))</x:f>
        <x:v>Low</x:v>
      </x:c>
      <x:c r="S91" s="17" t="str">
        <x:f>IF(L91&gt;=8,"Leave",IF(L91&gt;0,"Half Day",IF(M91&gt;0,"Permission",IF(P91&gt;0,"Overtime","Regular"))))</x:f>
        <x:v>Regular</x:v>
      </x:c>
    </x:row>
    <x:row r="92">
      <x:c r="A92" s="16" t="n">
        <x:v>46153</x:v>
      </x:c>
      <x:c r="B92" s="17" t="str">
        <x:v>Monday</x:v>
      </x:c>
      <x:c r="C92" s="17" t="str">
        <x:v>EMP003</x:v>
      </x:c>
      <x:c r="D92" s="17" t="str">
        <x:v>Kavin</x:v>
      </x:c>
      <x:c r="E92" s="17" t="str">
        <x:v>AI Employee Productivity Tracker</x:v>
      </x:c>
      <x:c r="F92" s="17" t="str">
        <x:v>Feature Engineering</x:v>
      </x:c>
      <x:c r="G92" s="18" t="n">
        <x:v>6</x:v>
      </x:c>
      <x:c r="H92" s="18" t="n">
        <x:v>6</x:v>
      </x:c>
      <x:c r="I92" s="18" t="n">
        <x:v>1</x:v>
      </x:c>
      <x:c r="J92" s="18" t="n">
        <x:v>0.5</x:v>
      </x:c>
      <x:c r="K92" s="18" t="n">
        <x:f>I92+J92</x:f>
        <x:v>1.5</x:v>
      </x:c>
      <x:c r="L92" s="18" t="n">
        <x:v>0</x:v>
      </x:c>
      <x:c r="M92" s="18" t="n">
        <x:v>0</x:v>
      </x:c>
      <x:c r="N92" s="18" t="n">
        <x:f>L92+M92</x:f>
        <x:v>0</x:v>
      </x:c>
      <x:c r="O92" s="18" t="n">
        <x:f>MAX(0,G92-I92-J92)</x:f>
        <x:v>4.5</x:v>
      </x:c>
      <x:c r="P92" s="18" t="n">
        <x:f>MAX(0,G92-8)</x:f>
        <x:v>0</x:v>
      </x:c>
      <x:c r="Q92" s="18" t="n">
        <x:f>ROUND(MIN(100,MAX(0,(O92/6.5)*100-N92*3+P92*4)),1)</x:f>
        <x:v>69.2</x:v>
      </x:c>
      <x:c r="R92" s="17" t="str">
        <x:f>IF(Q92&gt;=85,"High",IF(Q92&gt;=65,"Medium","Low"))</x:f>
        <x:v>Medium</x:v>
      </x:c>
      <x:c r="S92" s="17" t="str">
        <x:f>IF(L92&gt;=8,"Leave",IF(L92&gt;0,"Half Day",IF(M92&gt;0,"Permission",IF(P92&gt;0,"Overtime","Regular"))))</x:f>
        <x:v>Regular</x:v>
      </x:c>
    </x:row>
    <x:row r="93">
      <x:c r="A93" s="16" t="n">
        <x:v>46154</x:v>
      </x:c>
      <x:c r="B93" s="17" t="str">
        <x:v>Tuesday</x:v>
      </x:c>
      <x:c r="C93" s="17" t="str">
        <x:v>EMP004</x:v>
      </x:c>
      <x:c r="D93" s="17" t="str">
        <x:v>Meera</x:v>
      </x:c>
      <x:c r="E93" s="17" t="str">
        <x:v>Project Cost Estimator</x:v>
      </x:c>
      <x:c r="F93" s="17" t="str">
        <x:v>Deployment</x:v>
      </x:c>
      <x:c r="G93" s="18" t="n">
        <x:v>5</x:v>
      </x:c>
      <x:c r="H93" s="18" t="n">
        <x:v>5</x:v>
      </x:c>
      <x:c r="I93" s="18" t="n">
        <x:v>1</x:v>
      </x:c>
      <x:c r="J93" s="18" t="n">
        <x:v>0.25</x:v>
      </x:c>
      <x:c r="K93" s="18" t="n">
        <x:f>I93+J93</x:f>
        <x:v>1.25</x:v>
      </x:c>
      <x:c r="L93" s="18" t="n">
        <x:v>0</x:v>
      </x:c>
      <x:c r="M93" s="18" t="n">
        <x:v>2</x:v>
      </x:c>
      <x:c r="N93" s="18" t="n">
        <x:f>L93+M93</x:f>
        <x:v>2</x:v>
      </x:c>
      <x:c r="O93" s="18" t="n">
        <x:f>MAX(0,G93-I93-J93)</x:f>
        <x:v>3.75</x:v>
      </x:c>
      <x:c r="P93" s="18" t="n">
        <x:f>MAX(0,G93-8)</x:f>
        <x:v>0</x:v>
      </x:c>
      <x:c r="Q93" s="18" t="n">
        <x:f>ROUND(MIN(100,MAX(0,(O93/6.5)*100-N93*3+P93*4)),1)</x:f>
        <x:v>51.7</x:v>
      </x:c>
      <x:c r="R93" s="17" t="str">
        <x:f>IF(Q93&gt;=85,"High",IF(Q93&gt;=65,"Medium","Low"))</x:f>
        <x:v>Low</x:v>
      </x:c>
      <x:c r="S93" s="17" t="str">
        <x:f>IF(L93&gt;=8,"Leave",IF(L93&gt;0,"Half Day",IF(M93&gt;0,"Permission",IF(P93&gt;0,"Overtime","Regular"))))</x:f>
        <x:v>Permission</x:v>
      </x:c>
    </x:row>
    <x:row r="94">
      <x:c r="A94" s="16" t="n">
        <x:v>46155</x:v>
      </x:c>
      <x:c r="B94" s="17" t="str">
        <x:v>Wednesday</x:v>
      </x:c>
      <x:c r="C94" s="17" t="str">
        <x:v>EMP005</x:v>
      </x:c>
      <x:c r="D94" s="17" t="str">
        <x:v>Rahul</x:v>
      </x:c>
      <x:c r="E94" s="17" t="str">
        <x:v>AI Employee Productivity Tracker</x:v>
      </x:c>
      <x:c r="F94" s="17" t="str">
        <x:v>Client Review</x:v>
      </x:c>
      <x:c r="G94" s="18" t="n">
        <x:v>7</x:v>
      </x:c>
      <x:c r="H94" s="18" t="n">
        <x:v>7</x:v>
      </x:c>
      <x:c r="I94" s="18" t="n">
        <x:v>1</x:v>
      </x:c>
      <x:c r="J94" s="18" t="n">
        <x:v>0.5</x:v>
      </x:c>
      <x:c r="K94" s="18" t="n">
        <x:f>I94+J94</x:f>
        <x:v>1.5</x:v>
      </x:c>
      <x:c r="L94" s="18" t="n">
        <x:v>0</x:v>
      </x:c>
      <x:c r="M94" s="18" t="n">
        <x:v>0</x:v>
      </x:c>
      <x:c r="N94" s="18" t="n">
        <x:f>L94+M94</x:f>
        <x:v>0</x:v>
      </x:c>
      <x:c r="O94" s="18" t="n">
        <x:f>MAX(0,G94-I94-J94)</x:f>
        <x:v>5.5</x:v>
      </x:c>
      <x:c r="P94" s="18" t="n">
        <x:f>MAX(0,G94-8)</x:f>
        <x:v>0</x:v>
      </x:c>
      <x:c r="Q94" s="18" t="n">
        <x:f>ROUND(MIN(100,MAX(0,(O94/6.5)*100-N94*3+P94*4)),1)</x:f>
        <x:v>84.6</x:v>
      </x:c>
      <x:c r="R94" s="17" t="str">
        <x:f>IF(Q94&gt;=85,"High",IF(Q94&gt;=65,"Medium","Low"))</x:f>
        <x:v>Medium</x:v>
      </x:c>
      <x:c r="S94" s="17" t="str">
        <x:f>IF(L94&gt;=8,"Leave",IF(L94&gt;0,"Half Day",IF(M94&gt;0,"Permission",IF(P94&gt;0,"Overtime","Regular"))))</x:f>
        <x:v>Regular</x:v>
      </x:c>
    </x:row>
    <x:row r="95">
      <x:c r="A95" s="16" t="n">
        <x:v>46156</x:v>
      </x:c>
      <x:c r="B95" s="17" t="str">
        <x:v>Thursday</x:v>
      </x:c>
      <x:c r="C95" s="17" t="str">
        <x:v>EMP006</x:v>
      </x:c>
      <x:c r="D95" s="17" t="str">
        <x:v>Swathi</x:v>
      </x:c>
      <x:c r="E95" s="17" t="str">
        <x:v>Project Cost Estimator</x:v>
      </x:c>
      <x:c r="F95" s="17" t="str">
        <x:v>Model Testing</x:v>
      </x:c>
      <x:c r="G95" s="18" t="n">
        <x:v>6</x:v>
      </x:c>
      <x:c r="H95" s="18" t="n">
        <x:v>6</x:v>
      </x:c>
      <x:c r="I95" s="18" t="n">
        <x:v>1</x:v>
      </x:c>
      <x:c r="J95" s="18" t="n">
        <x:v>0.5</x:v>
      </x:c>
      <x:c r="K95" s="18" t="n">
        <x:f>I95+J95</x:f>
        <x:v>1.5</x:v>
      </x:c>
      <x:c r="L95" s="18" t="n">
        <x:v>0</x:v>
      </x:c>
      <x:c r="M95" s="18" t="n">
        <x:v>0</x:v>
      </x:c>
      <x:c r="N95" s="18" t="n">
        <x:f>L95+M95</x:f>
        <x:v>0</x:v>
      </x:c>
      <x:c r="O95" s="18" t="n">
        <x:f>MAX(0,G95-I95-J95)</x:f>
        <x:v>4.5</x:v>
      </x:c>
      <x:c r="P95" s="18" t="n">
        <x:f>MAX(0,G95-8)</x:f>
        <x:v>0</x:v>
      </x:c>
      <x:c r="Q95" s="18" t="n">
        <x:f>ROUND(MIN(100,MAX(0,(O95/6.5)*100-N95*3+P95*4)),1)</x:f>
        <x:v>69.2</x:v>
      </x:c>
      <x:c r="R95" s="17" t="str">
        <x:f>IF(Q95&gt;=85,"High",IF(Q95&gt;=65,"Medium","Low"))</x:f>
        <x:v>Medium</x:v>
      </x:c>
      <x:c r="S95" s="17" t="str">
        <x:f>IF(L95&gt;=8,"Leave",IF(L95&gt;0,"Half Day",IF(M95&gt;0,"Permission",IF(P95&gt;0,"Overtime","Regular"))))</x:f>
        <x:v>Regular</x:v>
      </x:c>
    </x:row>
    <x:row r="96">
      <x:c r="A96" s="16" t="n">
        <x:v>46157</x:v>
      </x:c>
      <x:c r="B96" s="17" t="str">
        <x:v>Friday</x:v>
      </x:c>
      <x:c r="C96" s="17" t="str">
        <x:v>EMP007</x:v>
      </x:c>
      <x:c r="D96" s="17" t="str">
        <x:v>Nisha</x:v>
      </x:c>
      <x:c r="E96" s="17" t="str">
        <x:v>AI Employee Productivity Tracker</x:v>
      </x:c>
      <x:c r="F96" s="17" t="str">
        <x:v>Data Cleaning</x:v>
      </x:c>
      <x:c r="G96" s="18" t="n">
        <x:v>4</x:v>
      </x:c>
      <x:c r="H96" s="18" t="n">
        <x:v>4</x:v>
      </x:c>
      <x:c r="I96" s="18" t="n">
        <x:v>0.5</x:v>
      </x:c>
      <x:c r="J96" s="18" t="n">
        <x:v>0.25</x:v>
      </x:c>
      <x:c r="K96" s="18" t="n">
        <x:f>I96+J96</x:f>
        <x:v>0.75</x:v>
      </x:c>
      <x:c r="L96" s="18" t="n">
        <x:v>0</x:v>
      </x:c>
      <x:c r="M96" s="18" t="n">
        <x:v>2</x:v>
      </x:c>
      <x:c r="N96" s="18" t="n">
        <x:f>L96+M96</x:f>
        <x:v>2</x:v>
      </x:c>
      <x:c r="O96" s="18" t="n">
        <x:f>MAX(0,G96-I96-J96)</x:f>
        <x:v>3.25</x:v>
      </x:c>
      <x:c r="P96" s="18" t="n">
        <x:f>MAX(0,G96-8)</x:f>
        <x:v>0</x:v>
      </x:c>
      <x:c r="Q96" s="18" t="n">
        <x:f>ROUND(MIN(100,MAX(0,(O96/6.5)*100-N96*3+P96*4)),1)</x:f>
        <x:v>44</x:v>
      </x:c>
      <x:c r="R96" s="17" t="str">
        <x:f>IF(Q96&gt;=85,"High",IF(Q96&gt;=65,"Medium","Low"))</x:f>
        <x:v>Low</x:v>
      </x:c>
      <x:c r="S96" s="17" t="str">
        <x:f>IF(L96&gt;=8,"Leave",IF(L96&gt;0,"Half Day",IF(M96&gt;0,"Permission",IF(P96&gt;0,"Overtime","Regular"))))</x:f>
        <x:v>Permission</x:v>
      </x:c>
    </x:row>
    <x:row r="97">
      <x:c r="A97" s="16" t="n">
        <x:v>46158</x:v>
      </x:c>
      <x:c r="B97" s="17" t="str">
        <x:v>Saturday</x:v>
      </x:c>
      <x:c r="C97" s="17" t="str">
        <x:v>EMP008</x:v>
      </x:c>
      <x:c r="D97" s="17" t="str">
        <x:v>Vikram</x:v>
      </x:c>
      <x:c r="E97" s="17" t="str">
        <x:v>Leave Pattern Analysis</x:v>
      </x:c>
      <x:c r="F97" s="17" t="str">
        <x:v>Bug Fixing</x:v>
      </x:c>
      <x:c r="G97" s="18" t="n">
        <x:v>4</x:v>
      </x:c>
      <x:c r="H97" s="18" t="n">
        <x:v>4</x:v>
      </x:c>
      <x:c r="I97" s="18" t="n">
        <x:v>0.5</x:v>
      </x:c>
      <x:c r="J97" s="18" t="n">
        <x:v>0.25</x:v>
      </x:c>
      <x:c r="K97" s="18" t="n">
        <x:f>I97+J97</x:f>
        <x:v>0.75</x:v>
      </x:c>
      <x:c r="L97" s="18" t="n">
        <x:v>0</x:v>
      </x:c>
      <x:c r="M97" s="18" t="n">
        <x:v>0</x:v>
      </x:c>
      <x:c r="N97" s="18" t="n">
        <x:f>L97+M97</x:f>
        <x:v>0</x:v>
      </x:c>
      <x:c r="O97" s="18" t="n">
        <x:f>MAX(0,G97-I97-J97)</x:f>
        <x:v>3.25</x:v>
      </x:c>
      <x:c r="P97" s="18" t="n">
        <x:f>MAX(0,G97-8)</x:f>
        <x:v>0</x:v>
      </x:c>
      <x:c r="Q97" s="18" t="n">
        <x:f>ROUND(MIN(100,MAX(0,(O97/6.5)*100-N97*3+P97*4)),1)</x:f>
        <x:v>50</x:v>
      </x:c>
      <x:c r="R97" s="17" t="str">
        <x:f>IF(Q97&gt;=85,"High",IF(Q97&gt;=65,"Medium","Low"))</x:f>
        <x:v>Low</x:v>
      </x:c>
      <x:c r="S97" s="17" t="str">
        <x:f>IF(L97&gt;=8,"Leave",IF(L97&gt;0,"Half Day",IF(M97&gt;0,"Permission",IF(P97&gt;0,"Overtime","Regular"))))</x:f>
        <x:v>Regular</x:v>
      </x:c>
    </x:row>
    <x:row r="98">
      <x:c r="A98" s="16" t="n">
        <x:v>46159</x:v>
      </x:c>
      <x:c r="B98" s="17" t="str">
        <x:v>Sunday</x:v>
      </x:c>
      <x:c r="C98" s="17" t="str">
        <x:v>EMP001</x:v>
      </x:c>
      <x:c r="D98" s="17" t="str">
        <x:v>Aarav</x:v>
      </x:c>
      <x:c r="E98" s="17" t="str">
        <x:v>Smart Attendance Analytics</x:v>
      </x:c>
      <x:c r="F98" s="17" t="str">
        <x:v>Documentation</x:v>
      </x:c>
      <x:c r="G98" s="18" t="n">
        <x:v>0</x:v>
      </x:c>
      <x:c r="H98" s="18" t="n">
        <x:v>0</x:v>
      </x:c>
      <x:c r="I98" s="18" t="n">
        <x:v>0</x:v>
      </x:c>
      <x:c r="J98" s="18" t="n">
        <x:v>0</x:v>
      </x:c>
      <x:c r="K98" s="18" t="n">
        <x:f>I98+J98</x:f>
        <x:v>0</x:v>
      </x:c>
      <x:c r="L98" s="18" t="n">
        <x:v>0</x:v>
      </x:c>
      <x:c r="M98" s="18" t="n">
        <x:v>0</x:v>
      </x:c>
      <x:c r="N98" s="18" t="n">
        <x:f>L98+M98</x:f>
        <x:v>0</x:v>
      </x:c>
      <x:c r="O98" s="18" t="n">
        <x:f>MAX(0,G98-I98-J98)</x:f>
        <x:v>0</x:v>
      </x:c>
      <x:c r="P98" s="18" t="n">
        <x:f>MAX(0,G98-8)</x:f>
        <x:v>0</x:v>
      </x:c>
      <x:c r="Q98" s="18" t="n">
        <x:f>ROUND(MIN(100,MAX(0,(O98/6.5)*100-N98*3+P98*4)),1)</x:f>
        <x:v>0</x:v>
      </x:c>
      <x:c r="R98" s="17" t="str">
        <x:f>IF(Q98&gt;=85,"High",IF(Q98&gt;=65,"Medium","Low"))</x:f>
        <x:v>Low</x:v>
      </x:c>
      <x:c r="S98" s="17" t="str">
        <x:f>IF(L98&gt;=8,"Leave",IF(L98&gt;0,"Half Day",IF(M98&gt;0,"Permission",IF(P98&gt;0,"Overtime","Regular"))))</x:f>
        <x:v>Regular</x:v>
      </x:c>
    </x:row>
    <x:row r="99">
      <x:c r="A99" s="16" t="n">
        <x:v>46160</x:v>
      </x:c>
      <x:c r="B99" s="17" t="str">
        <x:v>Monday</x:v>
      </x:c>
      <x:c r="C99" s="17" t="str">
        <x:v>EMP002</x:v>
      </x:c>
      <x:c r="D99" s="17" t="str">
        <x:v>Diya</x:v>
      </x:c>
      <x:c r="E99" s="17" t="str">
        <x:v>Leave Pattern Analysis</x:v>
      </x:c>
      <x:c r="F99" s="17" t="str">
        <x:v>Model Training</x:v>
      </x:c>
      <x:c r="G99" s="18" t="n">
        <x:v>6</x:v>
      </x:c>
      <x:c r="H99" s="18" t="n">
        <x:v>6</x:v>
      </x:c>
      <x:c r="I99" s="18" t="n">
        <x:v>1</x:v>
      </x:c>
      <x:c r="J99" s="18" t="n">
        <x:v>0.5</x:v>
      </x:c>
      <x:c r="K99" s="18" t="n">
        <x:f>I99+J99</x:f>
        <x:v>1.5</x:v>
      </x:c>
      <x:c r="L99" s="18" t="n">
        <x:v>0</x:v>
      </x:c>
      <x:c r="M99" s="18" t="n">
        <x:v>2</x:v>
      </x:c>
      <x:c r="N99" s="18" t="n">
        <x:f>L99+M99</x:f>
        <x:v>2</x:v>
      </x:c>
      <x:c r="O99" s="18" t="n">
        <x:f>MAX(0,G99-I99-J99)</x:f>
        <x:v>4.5</x:v>
      </x:c>
      <x:c r="P99" s="18" t="n">
        <x:f>MAX(0,G99-8)</x:f>
        <x:v>0</x:v>
      </x:c>
      <x:c r="Q99" s="18" t="n">
        <x:f>ROUND(MIN(100,MAX(0,(O99/6.5)*100-N99*3+P99*4)),1)</x:f>
        <x:v>63.2</x:v>
      </x:c>
      <x:c r="R99" s="17" t="str">
        <x:f>IF(Q99&gt;=85,"High",IF(Q99&gt;=65,"Medium","Low"))</x:f>
        <x:v>Low</x:v>
      </x:c>
      <x:c r="S99" s="17" t="str">
        <x:f>IF(L99&gt;=8,"Leave",IF(L99&gt;0,"Half Day",IF(M99&gt;0,"Permission",IF(P99&gt;0,"Overtime","Regular"))))</x:f>
        <x:v>Permission</x:v>
      </x:c>
    </x:row>
    <x:row r="100">
      <x:c r="A100" s="16" t="n">
        <x:v>46161</x:v>
      </x:c>
      <x:c r="B100" s="17" t="str">
        <x:v>Tuesday</x:v>
      </x:c>
      <x:c r="C100" s="17" t="str">
        <x:v>EMP003</x:v>
      </x:c>
      <x:c r="D100" s="17" t="str">
        <x:v>Kavin</x:v>
      </x:c>
      <x:c r="E100" s="17" t="str">
        <x:v>Smart Attendance Analytics</x:v>
      </x:c>
      <x:c r="F100" s="17" t="str">
        <x:v>Data Collection</x:v>
      </x:c>
      <x:c r="G100" s="18" t="n">
        <x:v>5</x:v>
      </x:c>
      <x:c r="H100" s="18" t="n">
        <x:v>5</x:v>
      </x:c>
      <x:c r="I100" s="18" t="n">
        <x:v>1</x:v>
      </x:c>
      <x:c r="J100" s="18" t="n">
        <x:v>0.25</x:v>
      </x:c>
      <x:c r="K100" s="18" t="n">
        <x:f>I100+J100</x:f>
        <x:v>1.25</x:v>
      </x:c>
      <x:c r="L100" s="18" t="n">
        <x:v>0</x:v>
      </x:c>
      <x:c r="M100" s="18" t="n">
        <x:v>3</x:v>
      </x:c>
      <x:c r="N100" s="18" t="n">
        <x:f>L100+M100</x:f>
        <x:v>3</x:v>
      </x:c>
      <x:c r="O100" s="18" t="n">
        <x:f>MAX(0,G100-I100-J100)</x:f>
        <x:v>3.75</x:v>
      </x:c>
      <x:c r="P100" s="18" t="n">
        <x:f>MAX(0,G100-8)</x:f>
        <x:v>0</x:v>
      </x:c>
      <x:c r="Q100" s="18" t="n">
        <x:f>ROUND(MIN(100,MAX(0,(O100/6.5)*100-N100*3+P100*4)),1)</x:f>
        <x:v>48.7</x:v>
      </x:c>
      <x:c r="R100" s="17" t="str">
        <x:f>IF(Q100&gt;=85,"High",IF(Q100&gt;=65,"Medium","Low"))</x:f>
        <x:v>Low</x:v>
      </x:c>
      <x:c r="S100" s="17" t="str">
        <x:f>IF(L100&gt;=8,"Leave",IF(L100&gt;0,"Half Day",IF(M100&gt;0,"Permission",IF(P100&gt;0,"Overtime","Regular"))))</x:f>
        <x:v>Permission</x:v>
      </x:c>
    </x:row>
    <x:row r="101">
      <x:c r="A101" s="16" t="n">
        <x:v>46162</x:v>
      </x:c>
      <x:c r="B101" s="17" t="str">
        <x:v>Wednesday</x:v>
      </x:c>
      <x:c r="C101" s="17" t="str">
        <x:v>EMP004</x:v>
      </x:c>
      <x:c r="D101" s="17" t="str">
        <x:v>Meera</x:v>
      </x:c>
      <x:c r="E101" s="17" t="str">
        <x:v>Leave Pattern Analysis</x:v>
      </x:c>
      <x:c r="F101" s="17" t="str">
        <x:v>Client Review</x:v>
      </x:c>
      <x:c r="G101" s="18" t="n">
        <x:v>7</x:v>
      </x:c>
      <x:c r="H101" s="18" t="n">
        <x:v>7</x:v>
      </x:c>
      <x:c r="I101" s="18" t="n">
        <x:v>1</x:v>
      </x:c>
      <x:c r="J101" s="18" t="n">
        <x:v>0.5</x:v>
      </x:c>
      <x:c r="K101" s="18" t="n">
        <x:f>I101+J101</x:f>
        <x:v>1.5</x:v>
      </x:c>
      <x:c r="L101" s="18" t="n">
        <x:v>0</x:v>
      </x:c>
      <x:c r="M101" s="18" t="n">
        <x:v>0</x:v>
      </x:c>
      <x:c r="N101" s="18" t="n">
        <x:f>L101+M101</x:f>
        <x:v>0</x:v>
      </x:c>
      <x:c r="O101" s="18" t="n">
        <x:f>MAX(0,G101-I101-J101)</x:f>
        <x:v>5.5</x:v>
      </x:c>
      <x:c r="P101" s="18" t="n">
        <x:f>MAX(0,G101-8)</x:f>
        <x:v>0</x:v>
      </x:c>
      <x:c r="Q101" s="18" t="n">
        <x:f>ROUND(MIN(100,MAX(0,(O101/6.5)*100-N101*3+P101*4)),1)</x:f>
        <x:v>84.6</x:v>
      </x:c>
      <x:c r="R101" s="17" t="str">
        <x:f>IF(Q101&gt;=85,"High",IF(Q101&gt;=65,"Medium","Low"))</x:f>
        <x:v>Medium</x:v>
      </x:c>
      <x:c r="S101" s="17" t="str">
        <x:f>IF(L101&gt;=8,"Leave",IF(L101&gt;0,"Half Day",IF(M101&gt;0,"Permission",IF(P101&gt;0,"Overtime","Regular"))))</x:f>
        <x:v>Regular</x:v>
      </x:c>
    </x:row>
    <x:row r="102">
      <x:c r="A102" s="16" t="n">
        <x:v>46143</x:v>
      </x:c>
      <x:c r="B102" s="17" t="str">
        <x:v>Friday</x:v>
      </x:c>
      <x:c r="C102" s="17" t="str">
        <x:v>EMP005</x:v>
      </x:c>
      <x:c r="D102" s="17" t="str">
        <x:v>Rahul</x:v>
      </x:c>
      <x:c r="E102" s="17" t="str">
        <x:v>Task Time Prediction Model</x:v>
      </x:c>
      <x:c r="F102" s="17" t="str">
        <x:v>Dashboard Design</x:v>
      </x:c>
      <x:c r="G102" s="18" t="n">
        <x:v>9</x:v>
      </x:c>
      <x:c r="H102" s="18" t="n">
        <x:v>8</x:v>
      </x:c>
      <x:c r="I102" s="18" t="n">
        <x:v>1</x:v>
      </x:c>
      <x:c r="J102" s="18" t="n">
        <x:v>0.5</x:v>
      </x:c>
      <x:c r="K102" s="18" t="n">
        <x:f>I102+J102</x:f>
        <x:v>1.5</x:v>
      </x:c>
      <x:c r="L102" s="18" t="n">
        <x:v>0</x:v>
      </x:c>
      <x:c r="M102" s="18" t="n">
        <x:v>0</x:v>
      </x:c>
      <x:c r="N102" s="18" t="n">
        <x:f>L102+M102</x:f>
        <x:v>0</x:v>
      </x:c>
      <x:c r="O102" s="18" t="n">
        <x:f>MAX(0,G102-I102-J102)</x:f>
        <x:v>7.5</x:v>
      </x:c>
      <x:c r="P102" s="18" t="n">
        <x:f>MAX(0,G102-8)</x:f>
        <x:v>1</x:v>
      </x:c>
      <x:c r="Q102" s="18" t="n">
        <x:f>ROUND(MIN(100,MAX(0,(O102/6.5)*100-N102*3+P102*4)),1)</x:f>
        <x:v>100</x:v>
      </x:c>
      <x:c r="R102" s="17" t="str">
        <x:f>IF(Q102&gt;=85,"High",IF(Q102&gt;=65,"Medium","Low"))</x:f>
        <x:v>High</x:v>
      </x:c>
      <x:c r="S102" s="17" t="str">
        <x:f>IF(L102&gt;=8,"Leave",IF(L102&gt;0,"Half Day",IF(M102&gt;0,"Permission",IF(P102&gt;0,"Overtime","Regular"))))</x:f>
        <x:v>Overtime</x:v>
      </x:c>
    </x:row>
    <x:row r="103">
      <x:c r="A103" s="16" t="n">
        <x:v>46144</x:v>
      </x:c>
      <x:c r="B103" s="17" t="str">
        <x:v>Saturday</x:v>
      </x:c>
      <x:c r="C103" s="17" t="str">
        <x:v>EMP006</x:v>
      </x:c>
      <x:c r="D103" s="17" t="str">
        <x:v>Swathi</x:v>
      </x:c>
      <x:c r="E103" s="17" t="str">
        <x:v>Workload Balancing Dashboard</x:v>
      </x:c>
      <x:c r="F103" s="17" t="str">
        <x:v>Feature Engineering</x:v>
      </x:c>
      <x:c r="G103" s="18" t="n">
        <x:v>0</x:v>
      </x:c>
      <x:c r="H103" s="18" t="n">
        <x:v>0</x:v>
      </x:c>
      <x:c r="I103" s="18" t="n">
        <x:v>0</x:v>
      </x:c>
      <x:c r="J103" s="18" t="n">
        <x:v>0</x:v>
      </x:c>
      <x:c r="K103" s="18" t="n">
        <x:f>I103+J103</x:f>
        <x:v>0</x:v>
      </x:c>
      <x:c r="L103" s="18" t="n">
        <x:v>0</x:v>
      </x:c>
      <x:c r="M103" s="18" t="n">
        <x:v>0</x:v>
      </x:c>
      <x:c r="N103" s="18" t="n">
        <x:f>L103+M103</x:f>
        <x:v>0</x:v>
      </x:c>
      <x:c r="O103" s="18" t="n">
        <x:f>MAX(0,G103-I103-J103)</x:f>
        <x:v>0</x:v>
      </x:c>
      <x:c r="P103" s="18" t="n">
        <x:f>MAX(0,G103-8)</x:f>
        <x:v>0</x:v>
      </x:c>
      <x:c r="Q103" s="18" t="n">
        <x:f>ROUND(MIN(100,MAX(0,(O103/6.5)*100-N103*3+P103*4)),1)</x:f>
        <x:v>0</x:v>
      </x:c>
      <x:c r="R103" s="17" t="str">
        <x:f>IF(Q103&gt;=85,"High",IF(Q103&gt;=65,"Medium","Low"))</x:f>
        <x:v>Low</x:v>
      </x:c>
      <x:c r="S103" s="17" t="str">
        <x:f>IF(L103&gt;=8,"Leave",IF(L103&gt;0,"Half Day",IF(M103&gt;0,"Permission",IF(P103&gt;0,"Overtime","Regular"))))</x:f>
        <x:v>Regular</x:v>
      </x:c>
    </x:row>
    <x:row r="104">
      <x:c r="A104" s="16" t="n">
        <x:v>46145</x:v>
      </x:c>
      <x:c r="B104" s="17" t="str">
        <x:v>Sunday</x:v>
      </x:c>
      <x:c r="C104" s="17" t="str">
        <x:v>EMP007</x:v>
      </x:c>
      <x:c r="D104" s="17" t="str">
        <x:v>Nisha</x:v>
      </x:c>
      <x:c r="E104" s="17" t="str">
        <x:v>Task Time Prediction Model</x:v>
      </x:c>
      <x:c r="F104" s="17" t="str">
        <x:v>Deployment</x:v>
      </x:c>
      <x:c r="G104" s="18" t="n">
        <x:v>2</x:v>
      </x:c>
      <x:c r="H104" s="18" t="n">
        <x:v>2</x:v>
      </x:c>
      <x:c r="I104" s="18" t="n">
        <x:v>0.5</x:v>
      </x:c>
      <x:c r="J104" s="18" t="n">
        <x:v>0.25</x:v>
      </x:c>
      <x:c r="K104" s="18" t="n">
        <x:f>I104+J104</x:f>
        <x:v>0.75</x:v>
      </x:c>
      <x:c r="L104" s="18" t="n">
        <x:v>0</x:v>
      </x:c>
      <x:c r="M104" s="18" t="n">
        <x:v>0</x:v>
      </x:c>
      <x:c r="N104" s="18" t="n">
        <x:f>L104+M104</x:f>
        <x:v>0</x:v>
      </x:c>
      <x:c r="O104" s="18" t="n">
        <x:f>MAX(0,G104-I104-J104)</x:f>
        <x:v>1.25</x:v>
      </x:c>
      <x:c r="P104" s="18" t="n">
        <x:f>MAX(0,G104-8)</x:f>
        <x:v>0</x:v>
      </x:c>
      <x:c r="Q104" s="18" t="n">
        <x:f>ROUND(MIN(100,MAX(0,(O104/6.5)*100-N104*3+P104*4)),1)</x:f>
        <x:v>19.2</x:v>
      </x:c>
      <x:c r="R104" s="17" t="str">
        <x:f>IF(Q104&gt;=85,"High",IF(Q104&gt;=65,"Medium","Low"))</x:f>
        <x:v>Low</x:v>
      </x:c>
      <x:c r="S104" s="17" t="str">
        <x:f>IF(L104&gt;=8,"Leave",IF(L104&gt;0,"Half Day",IF(M104&gt;0,"Permission",IF(P104&gt;0,"Overtime","Regular"))))</x:f>
        <x:v>Regular</x:v>
      </x:c>
    </x:row>
    <x:row r="105">
      <x:c r="A105" s="16" t="n">
        <x:v>46146</x:v>
      </x:c>
      <x:c r="B105" s="17" t="str">
        <x:v>Monday</x:v>
      </x:c>
      <x:c r="C105" s="17" t="str">
        <x:v>EMP008</x:v>
      </x:c>
      <x:c r="D105" s="17" t="str">
        <x:v>Vikram</x:v>
      </x:c>
      <x:c r="E105" s="17" t="str">
        <x:v>Workload Balancing Dashboard</x:v>
      </x:c>
      <x:c r="F105" s="17" t="str">
        <x:v>Documentation</x:v>
      </x:c>
      <x:c r="G105" s="18" t="n">
        <x:v>9</x:v>
      </x:c>
      <x:c r="H105" s="18" t="n">
        <x:v>8</x:v>
      </x:c>
      <x:c r="I105" s="18" t="n">
        <x:v>1</x:v>
      </x:c>
      <x:c r="J105" s="18" t="n">
        <x:v>0.5</x:v>
      </x:c>
      <x:c r="K105" s="18" t="n">
        <x:f>I105+J105</x:f>
        <x:v>1.5</x:v>
      </x:c>
      <x:c r="L105" s="18" t="n">
        <x:v>0</x:v>
      </x:c>
      <x:c r="M105" s="18" t="n">
        <x:v>0</x:v>
      </x:c>
      <x:c r="N105" s="18" t="n">
        <x:f>L105+M105</x:f>
        <x:v>0</x:v>
      </x:c>
      <x:c r="O105" s="18" t="n">
        <x:f>MAX(0,G105-I105-J105)</x:f>
        <x:v>7.5</x:v>
      </x:c>
      <x:c r="P105" s="18" t="n">
        <x:f>MAX(0,G105-8)</x:f>
        <x:v>1</x:v>
      </x:c>
      <x:c r="Q105" s="18" t="n">
        <x:f>ROUND(MIN(100,MAX(0,(O105/6.5)*100-N105*3+P105*4)),1)</x:f>
        <x:v>100</x:v>
      </x:c>
      <x:c r="R105" s="17" t="str">
        <x:f>IF(Q105&gt;=85,"High",IF(Q105&gt;=65,"Medium","Low"))</x:f>
        <x:v>High</x:v>
      </x:c>
      <x:c r="S105" s="17" t="str">
        <x:f>IF(L105&gt;=8,"Leave",IF(L105&gt;0,"Half Day",IF(M105&gt;0,"Permission",IF(P105&gt;0,"Overtime","Regular"))))</x:f>
        <x:v>Overtime</x:v>
      </x:c>
    </x:row>
    <x:row r="106">
      <x:c r="A106" s="16" t="n">
        <x:v>46147</x:v>
      </x:c>
      <x:c r="B106" s="17" t="str">
        <x:v>Tuesday</x:v>
      </x:c>
      <x:c r="C106" s="17" t="str">
        <x:v>EMP001</x:v>
      </x:c>
      <x:c r="D106" s="17" t="str">
        <x:v>Aarav</x:v>
      </x:c>
      <x:c r="E106" s="17" t="str">
        <x:v>Task Time Prediction Model</x:v>
      </x:c>
      <x:c r="F106" s="17" t="str">
        <x:v>Model Testing</x:v>
      </x:c>
      <x:c r="G106" s="18" t="n">
        <x:v>8</x:v>
      </x:c>
      <x:c r="H106" s="18" t="n">
        <x:v>8</x:v>
      </x:c>
      <x:c r="I106" s="18" t="n">
        <x:v>1</x:v>
      </x:c>
      <x:c r="J106" s="18" t="n">
        <x:v>0.5</x:v>
      </x:c>
      <x:c r="K106" s="18" t="n">
        <x:f>I106+J106</x:f>
        <x:v>1.5</x:v>
      </x:c>
      <x:c r="L106" s="18" t="n">
        <x:v>0</x:v>
      </x:c>
      <x:c r="M106" s="18" t="n">
        <x:v>0</x:v>
      </x:c>
      <x:c r="N106" s="18" t="n">
        <x:f>L106+M106</x:f>
        <x:v>0</x:v>
      </x:c>
      <x:c r="O106" s="18" t="n">
        <x:f>MAX(0,G106-I106-J106)</x:f>
        <x:v>6.5</x:v>
      </x:c>
      <x:c r="P106" s="18" t="n">
        <x:f>MAX(0,G106-8)</x:f>
        <x:v>0</x:v>
      </x:c>
      <x:c r="Q106" s="18" t="n">
        <x:f>ROUND(MIN(100,MAX(0,(O106/6.5)*100-N106*3+P106*4)),1)</x:f>
        <x:v>100</x:v>
      </x:c>
      <x:c r="R106" s="17" t="str">
        <x:f>IF(Q106&gt;=85,"High",IF(Q106&gt;=65,"Medium","Low"))</x:f>
        <x:v>High</x:v>
      </x:c>
      <x:c r="S106" s="17" t="str">
        <x:f>IF(L106&gt;=8,"Leave",IF(L106&gt;0,"Half Day",IF(M106&gt;0,"Permission",IF(P106&gt;0,"Overtime","Regular"))))</x:f>
        <x:v>Regular</x:v>
      </x:c>
    </x:row>
    <x:row r="107">
      <x:c r="A107" s="16" t="n">
        <x:v>46148</x:v>
      </x:c>
      <x:c r="B107" s="17" t="str">
        <x:v>Wednesday</x:v>
      </x:c>
      <x:c r="C107" s="17" t="str">
        <x:v>EMP002</x:v>
      </x:c>
      <x:c r="D107" s="17" t="str">
        <x:v>Diya</x:v>
      </x:c>
      <x:c r="E107" s="17" t="str">
        <x:v>AI Employee Productivity Tracker</x:v>
      </x:c>
      <x:c r="F107" s="17" t="str">
        <x:v>Data Cleaning</x:v>
      </x:c>
      <x:c r="G107" s="18" t="n">
        <x:v>8</x:v>
      </x:c>
      <x:c r="H107" s="18" t="n">
        <x:v>8</x:v>
      </x:c>
      <x:c r="I107" s="18" t="n">
        <x:v>1</x:v>
      </x:c>
      <x:c r="J107" s="18" t="n">
        <x:v>0.5</x:v>
      </x:c>
      <x:c r="K107" s="18" t="n">
        <x:f>I107+J107</x:f>
        <x:v>1.5</x:v>
      </x:c>
      <x:c r="L107" s="18" t="n">
        <x:v>0</x:v>
      </x:c>
      <x:c r="M107" s="18" t="n">
        <x:v>0</x:v>
      </x:c>
      <x:c r="N107" s="18" t="n">
        <x:f>L107+M107</x:f>
        <x:v>0</x:v>
      </x:c>
      <x:c r="O107" s="18" t="n">
        <x:f>MAX(0,G107-I107-J107)</x:f>
        <x:v>6.5</x:v>
      </x:c>
      <x:c r="P107" s="18" t="n">
        <x:f>MAX(0,G107-8)</x:f>
        <x:v>0</x:v>
      </x:c>
      <x:c r="Q107" s="18" t="n">
        <x:f>ROUND(MIN(100,MAX(0,(O107/6.5)*100-N107*3+P107*4)),1)</x:f>
        <x:v>100</x:v>
      </x:c>
      <x:c r="R107" s="17" t="str">
        <x:f>IF(Q107&gt;=85,"High",IF(Q107&gt;=65,"Medium","Low"))</x:f>
        <x:v>High</x:v>
      </x:c>
      <x:c r="S107" s="17" t="str">
        <x:f>IF(L107&gt;=8,"Leave",IF(L107&gt;0,"Half Day",IF(M107&gt;0,"Permission",IF(P107&gt;0,"Overtime","Regular"))))</x:f>
        <x:v>Regular</x:v>
      </x:c>
    </x:row>
    <x:row r="108">
      <x:c r="A108" s="16" t="n">
        <x:v>46149</x:v>
      </x:c>
      <x:c r="B108" s="17" t="str">
        <x:v>Thursday</x:v>
      </x:c>
      <x:c r="C108" s="17" t="str">
        <x:v>EMP003</x:v>
      </x:c>
      <x:c r="D108" s="17" t="str">
        <x:v>Kavin</x:v>
      </x:c>
      <x:c r="E108" s="17" t="str">
        <x:v>Project Cost Estimator</x:v>
      </x:c>
      <x:c r="F108" s="17" t="str">
        <x:v>Bug Fixing</x:v>
      </x:c>
      <x:c r="G108" s="18" t="n">
        <x:v>5</x:v>
      </x:c>
      <x:c r="H108" s="18" t="n">
        <x:v>5</x:v>
      </x:c>
      <x:c r="I108" s="18" t="n">
        <x:v>1</x:v>
      </x:c>
      <x:c r="J108" s="18" t="n">
        <x:v>0.25</x:v>
      </x:c>
      <x:c r="K108" s="18" t="n">
        <x:f>I108+J108</x:f>
        <x:v>1.25</x:v>
      </x:c>
      <x:c r="L108" s="18" t="n">
        <x:v>0</x:v>
      </x:c>
      <x:c r="M108" s="18" t="n">
        <x:v>1</x:v>
      </x:c>
      <x:c r="N108" s="18" t="n">
        <x:f>L108+M108</x:f>
        <x:v>1</x:v>
      </x:c>
      <x:c r="O108" s="18" t="n">
        <x:f>MAX(0,G108-I108-J108)</x:f>
        <x:v>3.75</x:v>
      </x:c>
      <x:c r="P108" s="18" t="n">
        <x:f>MAX(0,G108-8)</x:f>
        <x:v>0</x:v>
      </x:c>
      <x:c r="Q108" s="18" t="n">
        <x:f>ROUND(MIN(100,MAX(0,(O108/6.5)*100-N108*3+P108*4)),1)</x:f>
        <x:v>54.7</x:v>
      </x:c>
      <x:c r="R108" s="17" t="str">
        <x:f>IF(Q108&gt;=85,"High",IF(Q108&gt;=65,"Medium","Low"))</x:f>
        <x:v>Low</x:v>
      </x:c>
      <x:c r="S108" s="17" t="str">
        <x:f>IF(L108&gt;=8,"Leave",IF(L108&gt;0,"Half Day",IF(M108&gt;0,"Permission",IF(P108&gt;0,"Overtime","Regular"))))</x:f>
        <x:v>Permission</x:v>
      </x:c>
    </x:row>
    <x:row r="109">
      <x:c r="A109" s="16" t="n">
        <x:v>46150</x:v>
      </x:c>
      <x:c r="B109" s="17" t="str">
        <x:v>Friday</x:v>
      </x:c>
      <x:c r="C109" s="17" t="str">
        <x:v>EMP004</x:v>
      </x:c>
      <x:c r="D109" s="17" t="str">
        <x:v>Meera</x:v>
      </x:c>
      <x:c r="E109" s="17" t="str">
        <x:v>AI Employee Productivity Tracker</x:v>
      </x:c>
      <x:c r="F109" s="17" t="str">
        <x:v>Dashboard Design</x:v>
      </x:c>
      <x:c r="G109" s="18" t="n">
        <x:v>8.5</x:v>
      </x:c>
      <x:c r="H109" s="18" t="n">
        <x:v>8</x:v>
      </x:c>
      <x:c r="I109" s="18" t="n">
        <x:v>1</x:v>
      </x:c>
      <x:c r="J109" s="18" t="n">
        <x:v>0.5</x:v>
      </x:c>
      <x:c r="K109" s="18" t="n">
        <x:f>I109+J109</x:f>
        <x:v>1.5</x:v>
      </x:c>
      <x:c r="L109" s="18" t="n">
        <x:v>0</x:v>
      </x:c>
      <x:c r="M109" s="18" t="n">
        <x:v>0</x:v>
      </x:c>
      <x:c r="N109" s="18" t="n">
        <x:f>L109+M109</x:f>
        <x:v>0</x:v>
      </x:c>
      <x:c r="O109" s="18" t="n">
        <x:f>MAX(0,G109-I109-J109)</x:f>
        <x:v>7</x:v>
      </x:c>
      <x:c r="P109" s="18" t="n">
        <x:f>MAX(0,G109-8)</x:f>
        <x:v>0.5</x:v>
      </x:c>
      <x:c r="Q109" s="18" t="n">
        <x:f>ROUND(MIN(100,MAX(0,(O109/6.5)*100-N109*3+P109*4)),1)</x:f>
        <x:v>100</x:v>
      </x:c>
      <x:c r="R109" s="17" t="str">
        <x:f>IF(Q109&gt;=85,"High",IF(Q109&gt;=65,"Medium","Low"))</x:f>
        <x:v>High</x:v>
      </x:c>
      <x:c r="S109" s="17" t="str">
        <x:f>IF(L109&gt;=8,"Leave",IF(L109&gt;0,"Half Day",IF(M109&gt;0,"Permission",IF(P109&gt;0,"Overtime","Regular"))))</x:f>
        <x:v>Overtime</x:v>
      </x:c>
    </x:row>
    <x:row r="110">
      <x:c r="A110" s="16" t="n">
        <x:v>46151</x:v>
      </x:c>
      <x:c r="B110" s="17" t="str">
        <x:v>Saturday</x:v>
      </x:c>
      <x:c r="C110" s="17" t="str">
        <x:v>EMP005</x:v>
      </x:c>
      <x:c r="D110" s="17" t="str">
        <x:v>Rahul</x:v>
      </x:c>
      <x:c r="E110" s="17" t="str">
        <x:v>Project Cost Estimator</x:v>
      </x:c>
      <x:c r="F110" s="17" t="str">
        <x:v>Model Training</x:v>
      </x:c>
      <x:c r="G110" s="18" t="n">
        <x:v>4</x:v>
      </x:c>
      <x:c r="H110" s="18" t="n">
        <x:v>4</x:v>
      </x:c>
      <x:c r="I110" s="18" t="n">
        <x:v>0.5</x:v>
      </x:c>
      <x:c r="J110" s="18" t="n">
        <x:v>0.25</x:v>
      </x:c>
      <x:c r="K110" s="18" t="n">
        <x:f>I110+J110</x:f>
        <x:v>0.75</x:v>
      </x:c>
      <x:c r="L110" s="18" t="n">
        <x:v>0</x:v>
      </x:c>
      <x:c r="M110" s="18" t="n">
        <x:v>0</x:v>
      </x:c>
      <x:c r="N110" s="18" t="n">
        <x:f>L110+M110</x:f>
        <x:v>0</x:v>
      </x:c>
      <x:c r="O110" s="18" t="n">
        <x:f>MAX(0,G110-I110-J110)</x:f>
        <x:v>3.25</x:v>
      </x:c>
      <x:c r="P110" s="18" t="n">
        <x:f>MAX(0,G110-8)</x:f>
        <x:v>0</x:v>
      </x:c>
      <x:c r="Q110" s="18" t="n">
        <x:f>ROUND(MIN(100,MAX(0,(O110/6.5)*100-N110*3+P110*4)),1)</x:f>
        <x:v>50</x:v>
      </x:c>
      <x:c r="R110" s="17" t="str">
        <x:f>IF(Q110&gt;=85,"High",IF(Q110&gt;=65,"Medium","Low"))</x:f>
        <x:v>Low</x:v>
      </x:c>
      <x:c r="S110" s="17" t="str">
        <x:f>IF(L110&gt;=8,"Leave",IF(L110&gt;0,"Half Day",IF(M110&gt;0,"Permission",IF(P110&gt;0,"Overtime","Regular"))))</x:f>
        <x:v>Regular</x:v>
      </x:c>
    </x:row>
    <x:row r="111">
      <x:c r="A111" s="16" t="n">
        <x:v>46152</x:v>
      </x:c>
      <x:c r="B111" s="17" t="str">
        <x:v>Sunday</x:v>
      </x:c>
      <x:c r="C111" s="17" t="str">
        <x:v>EMP006</x:v>
      </x:c>
      <x:c r="D111" s="17" t="str">
        <x:v>Swathi</x:v>
      </x:c>
      <x:c r="E111" s="17" t="str">
        <x:v>AI Employee Productivity Tracker</x:v>
      </x:c>
      <x:c r="F111" s="17" t="str">
        <x:v>Data Collection</x:v>
      </x:c>
      <x:c r="G111" s="18" t="n">
        <x:v>0</x:v>
      </x:c>
      <x:c r="H111" s="18" t="n">
        <x:v>0</x:v>
      </x:c>
      <x:c r="I111" s="18" t="n">
        <x:v>0</x:v>
      </x:c>
      <x:c r="J111" s="18" t="n">
        <x:v>0</x:v>
      </x:c>
      <x:c r="K111" s="18" t="n">
        <x:f>I111+J111</x:f>
        <x:v>0</x:v>
      </x:c>
      <x:c r="L111" s="18" t="n">
        <x:v>0</x:v>
      </x:c>
      <x:c r="M111" s="18" t="n">
        <x:v>0</x:v>
      </x:c>
      <x:c r="N111" s="18" t="n">
        <x:f>L111+M111</x:f>
        <x:v>0</x:v>
      </x:c>
      <x:c r="O111" s="18" t="n">
        <x:f>MAX(0,G111-I111-J111)</x:f>
        <x:v>0</x:v>
      </x:c>
      <x:c r="P111" s="18" t="n">
        <x:f>MAX(0,G111-8)</x:f>
        <x:v>0</x:v>
      </x:c>
      <x:c r="Q111" s="18" t="n">
        <x:f>ROUND(MIN(100,MAX(0,(O111/6.5)*100-N111*3+P111*4)),1)</x:f>
        <x:v>0</x:v>
      </x:c>
      <x:c r="R111" s="17" t="str">
        <x:f>IF(Q111&gt;=85,"High",IF(Q111&gt;=65,"Medium","Low"))</x:f>
        <x:v>Low</x:v>
      </x:c>
      <x:c r="S111" s="17" t="str">
        <x:f>IF(L111&gt;=8,"Leave",IF(L111&gt;0,"Half Day",IF(M111&gt;0,"Permission",IF(P111&gt;0,"Overtime","Regular"))))</x:f>
        <x:v>Regular</x:v>
      </x:c>
    </x:row>
    <x:row r="112">
      <x:c r="A112" s="16" t="n">
        <x:v>46153</x:v>
      </x:c>
      <x:c r="B112" s="17" t="str">
        <x:v>Monday</x:v>
      </x:c>
      <x:c r="C112" s="17" t="str">
        <x:v>EMP007</x:v>
      </x:c>
      <x:c r="D112" s="17" t="str">
        <x:v>Nisha</x:v>
      </x:c>
      <x:c r="E112" s="17" t="str">
        <x:v>Leave Pattern Analysis</x:v>
      </x:c>
      <x:c r="F112" s="17" t="str">
        <x:v>Client Review</x:v>
      </x:c>
      <x:c r="G112" s="18" t="n">
        <x:v>6</x:v>
      </x:c>
      <x:c r="H112" s="18" t="n">
        <x:v>6</x:v>
      </x:c>
      <x:c r="I112" s="18" t="n">
        <x:v>1</x:v>
      </x:c>
      <x:c r="J112" s="18" t="n">
        <x:v>0.5</x:v>
      </x:c>
      <x:c r="K112" s="18" t="n">
        <x:f>I112+J112</x:f>
        <x:v>1.5</x:v>
      </x:c>
      <x:c r="L112" s="18" t="n">
        <x:v>0</x:v>
      </x:c>
      <x:c r="M112" s="18" t="n">
        <x:v>0</x:v>
      </x:c>
      <x:c r="N112" s="18" t="n">
        <x:f>L112+M112</x:f>
        <x:v>0</x:v>
      </x:c>
      <x:c r="O112" s="18" t="n">
        <x:f>MAX(0,G112-I112-J112)</x:f>
        <x:v>4.5</x:v>
      </x:c>
      <x:c r="P112" s="18" t="n">
        <x:f>MAX(0,G112-8)</x:f>
        <x:v>0</x:v>
      </x:c>
      <x:c r="Q112" s="18" t="n">
        <x:f>ROUND(MIN(100,MAX(0,(O112/6.5)*100-N112*3+P112*4)),1)</x:f>
        <x:v>69.2</x:v>
      </x:c>
      <x:c r="R112" s="17" t="str">
        <x:f>IF(Q112&gt;=85,"High",IF(Q112&gt;=65,"Medium","Low"))</x:f>
        <x:v>Medium</x:v>
      </x:c>
      <x:c r="S112" s="17" t="str">
        <x:f>IF(L112&gt;=8,"Leave",IF(L112&gt;0,"Half Day",IF(M112&gt;0,"Permission",IF(P112&gt;0,"Overtime","Regular"))))</x:f>
        <x:v>Regular</x:v>
      </x:c>
    </x:row>
    <x:row r="113">
      <x:c r="A113" s="16" t="n">
        <x:v>46154</x:v>
      </x:c>
      <x:c r="B113" s="17" t="str">
        <x:v>Tuesday</x:v>
      </x:c>
      <x:c r="C113" s="17" t="str">
        <x:v>EMP008</x:v>
      </x:c>
      <x:c r="D113" s="17" t="str">
        <x:v>Vikram</x:v>
      </x:c>
      <x:c r="E113" s="17" t="str">
        <x:v>Smart Attendance Analytics</x:v>
      </x:c>
      <x:c r="F113" s="17" t="str">
        <x:v>Model Testing</x:v>
      </x:c>
      <x:c r="G113" s="18" t="n">
        <x:v>4</x:v>
      </x:c>
      <x:c r="H113" s="18" t="n">
        <x:v>4</x:v>
      </x:c>
      <x:c r="I113" s="18" t="n">
        <x:v>0.5</x:v>
      </x:c>
      <x:c r="J113" s="18" t="n">
        <x:v>0.25</x:v>
      </x:c>
      <x:c r="K113" s="18" t="n">
        <x:f>I113+J113</x:f>
        <x:v>0.75</x:v>
      </x:c>
      <x:c r="L113" s="18" t="n">
        <x:v>4</x:v>
      </x:c>
      <x:c r="M113" s="18" t="n">
        <x:v>0</x:v>
      </x:c>
      <x:c r="N113" s="18" t="n">
        <x:f>L113+M113</x:f>
        <x:v>4</x:v>
      </x:c>
      <x:c r="O113" s="18" t="n">
        <x:f>MAX(0,G113-I113-J113)</x:f>
        <x:v>3.25</x:v>
      </x:c>
      <x:c r="P113" s="18" t="n">
        <x:f>MAX(0,G113-8)</x:f>
        <x:v>0</x:v>
      </x:c>
      <x:c r="Q113" s="18" t="n">
        <x:f>ROUND(MIN(100,MAX(0,(O113/6.5)*100-N113*3+P113*4)),1)</x:f>
        <x:v>38</x:v>
      </x:c>
      <x:c r="R113" s="17" t="str">
        <x:f>IF(Q113&gt;=85,"High",IF(Q113&gt;=65,"Medium","Low"))</x:f>
        <x:v>Low</x:v>
      </x:c>
      <x:c r="S113" s="17" t="str">
        <x:f>IF(L113&gt;=8,"Leave",IF(L113&gt;0,"Half Day",IF(M113&gt;0,"Permission",IF(P113&gt;0,"Overtime","Regular"))))</x:f>
        <x:v>Half Day</x:v>
      </x:c>
    </x:row>
    <x:row r="114">
      <x:c r="A114" s="16" t="n">
        <x:v>46155</x:v>
      </x:c>
      <x:c r="B114" s="17" t="str">
        <x:v>Wednesday</x:v>
      </x:c>
      <x:c r="C114" s="17" t="str">
        <x:v>EMP001</x:v>
      </x:c>
      <x:c r="D114" s="17" t="str">
        <x:v>Aarav</x:v>
      </x:c>
      <x:c r="E114" s="17" t="str">
        <x:v>Leave Pattern Analysis</x:v>
      </x:c>
      <x:c r="F114" s="17" t="str">
        <x:v>Feature Engineering</x:v>
      </x:c>
      <x:c r="G114" s="18" t="n">
        <x:v>6</x:v>
      </x:c>
      <x:c r="H114" s="18" t="n">
        <x:v>6</x:v>
      </x:c>
      <x:c r="I114" s="18" t="n">
        <x:v>1</x:v>
      </x:c>
      <x:c r="J114" s="18" t="n">
        <x:v>0.5</x:v>
      </x:c>
      <x:c r="K114" s="18" t="n">
        <x:f>I114+J114</x:f>
        <x:v>1.5</x:v>
      </x:c>
      <x:c r="L114" s="18" t="n">
        <x:v>0</x:v>
      </x:c>
      <x:c r="M114" s="18" t="n">
        <x:v>0</x:v>
      </x:c>
      <x:c r="N114" s="18" t="n">
        <x:f>L114+M114</x:f>
        <x:v>0</x:v>
      </x:c>
      <x:c r="O114" s="18" t="n">
        <x:f>MAX(0,G114-I114-J114)</x:f>
        <x:v>4.5</x:v>
      </x:c>
      <x:c r="P114" s="18" t="n">
        <x:f>MAX(0,G114-8)</x:f>
        <x:v>0</x:v>
      </x:c>
      <x:c r="Q114" s="18" t="n">
        <x:f>ROUND(MIN(100,MAX(0,(O114/6.5)*100-N114*3+P114*4)),1)</x:f>
        <x:v>69.2</x:v>
      </x:c>
      <x:c r="R114" s="17" t="str">
        <x:f>IF(Q114&gt;=85,"High",IF(Q114&gt;=65,"Medium","Low"))</x:f>
        <x:v>Medium</x:v>
      </x:c>
      <x:c r="S114" s="17" t="str">
        <x:f>IF(L114&gt;=8,"Leave",IF(L114&gt;0,"Half Day",IF(M114&gt;0,"Permission",IF(P114&gt;0,"Overtime","Regular"))))</x:f>
        <x:v>Regular</x:v>
      </x:c>
    </x:row>
    <x:row r="115">
      <x:c r="A115" s="16" t="n">
        <x:v>46156</x:v>
      </x:c>
      <x:c r="B115" s="17" t="str">
        <x:v>Thursday</x:v>
      </x:c>
      <x:c r="C115" s="17" t="str">
        <x:v>EMP002</x:v>
      </x:c>
      <x:c r="D115" s="17" t="str">
        <x:v>Diya</x:v>
      </x:c>
      <x:c r="E115" s="17" t="str">
        <x:v>Smart Attendance Analytics</x:v>
      </x:c>
      <x:c r="F115" s="17" t="str">
        <x:v>Deployment</x:v>
      </x:c>
      <x:c r="G115" s="18" t="n">
        <x:v>6</x:v>
      </x:c>
      <x:c r="H115" s="18" t="n">
        <x:v>6</x:v>
      </x:c>
      <x:c r="I115" s="18" t="n">
        <x:v>1</x:v>
      </x:c>
      <x:c r="J115" s="18" t="n">
        <x:v>0.5</x:v>
      </x:c>
      <x:c r="K115" s="18" t="n">
        <x:f>I115+J115</x:f>
        <x:v>1.5</x:v>
      </x:c>
      <x:c r="L115" s="18" t="n">
        <x:v>0</x:v>
      </x:c>
      <x:c r="M115" s="18" t="n">
        <x:v>0</x:v>
      </x:c>
      <x:c r="N115" s="18" t="n">
        <x:f>L115+M115</x:f>
        <x:v>0</x:v>
      </x:c>
      <x:c r="O115" s="18" t="n">
        <x:f>MAX(0,G115-I115-J115)</x:f>
        <x:v>4.5</x:v>
      </x:c>
      <x:c r="P115" s="18" t="n">
        <x:f>MAX(0,G115-8)</x:f>
        <x:v>0</x:v>
      </x:c>
      <x:c r="Q115" s="18" t="n">
        <x:f>ROUND(MIN(100,MAX(0,(O115/6.5)*100-N115*3+P115*4)),1)</x:f>
        <x:v>69.2</x:v>
      </x:c>
      <x:c r="R115" s="17" t="str">
        <x:f>IF(Q115&gt;=85,"High",IF(Q115&gt;=65,"Medium","Low"))</x:f>
        <x:v>Medium</x:v>
      </x:c>
      <x:c r="S115" s="17" t="str">
        <x:f>IF(L115&gt;=8,"Leave",IF(L115&gt;0,"Half Day",IF(M115&gt;0,"Permission",IF(P115&gt;0,"Overtime","Regular"))))</x:f>
        <x:v>Regular</x:v>
      </x:c>
    </x:row>
    <x:row r="116">
      <x:c r="A116" s="16" t="n">
        <x:v>46157</x:v>
      </x:c>
      <x:c r="B116" s="17" t="str">
        <x:v>Friday</x:v>
      </x:c>
      <x:c r="C116" s="17" t="str">
        <x:v>EMP003</x:v>
      </x:c>
      <x:c r="D116" s="17" t="str">
        <x:v>Kavin</x:v>
      </x:c>
      <x:c r="E116" s="17" t="str">
        <x:v>Leave Pattern Analysis</x:v>
      </x:c>
      <x:c r="F116" s="17" t="str">
        <x:v>Documentation</x:v>
      </x:c>
      <x:c r="G116" s="18" t="n">
        <x:v>7.5</x:v>
      </x:c>
      <x:c r="H116" s="18" t="n">
        <x:v>7.5</x:v>
      </x:c>
      <x:c r="I116" s="18" t="n">
        <x:v>1</x:v>
      </x:c>
      <x:c r="J116" s="18" t="n">
        <x:v>0.5</x:v>
      </x:c>
      <x:c r="K116" s="18" t="n">
        <x:f>I116+J116</x:f>
        <x:v>1.5</x:v>
      </x:c>
      <x:c r="L116" s="18" t="n">
        <x:v>0</x:v>
      </x:c>
      <x:c r="M116" s="18" t="n">
        <x:v>0</x:v>
      </x:c>
      <x:c r="N116" s="18" t="n">
        <x:f>L116+M116</x:f>
        <x:v>0</x:v>
      </x:c>
      <x:c r="O116" s="18" t="n">
        <x:f>MAX(0,G116-I116-J116)</x:f>
        <x:v>6</x:v>
      </x:c>
      <x:c r="P116" s="18" t="n">
        <x:f>MAX(0,G116-8)</x:f>
        <x:v>0</x:v>
      </x:c>
      <x:c r="Q116" s="18" t="n">
        <x:f>ROUND(MIN(100,MAX(0,(O116/6.5)*100-N116*3+P116*4)),1)</x:f>
        <x:v>92.3</x:v>
      </x:c>
      <x:c r="R116" s="17" t="str">
        <x:f>IF(Q116&gt;=85,"High",IF(Q116&gt;=65,"Medium","Low"))</x:f>
        <x:v>High</x:v>
      </x:c>
      <x:c r="S116" s="17" t="str">
        <x:f>IF(L116&gt;=8,"Leave",IF(L116&gt;0,"Half Day",IF(M116&gt;0,"Permission",IF(P116&gt;0,"Overtime","Regular"))))</x:f>
        <x:v>Regular</x:v>
      </x:c>
    </x:row>
    <x:row r="117">
      <x:c r="A117" s="16" t="n">
        <x:v>46158</x:v>
      </x:c>
      <x:c r="B117" s="17" t="str">
        <x:v>Saturday</x:v>
      </x:c>
      <x:c r="C117" s="17" t="str">
        <x:v>EMP004</x:v>
      </x:c>
      <x:c r="D117" s="17" t="str">
        <x:v>Meera</x:v>
      </x:c>
      <x:c r="E117" s="17" t="str">
        <x:v>Task Time Prediction Model</x:v>
      </x:c>
      <x:c r="F117" s="17" t="str">
        <x:v>Model Training</x:v>
      </x:c>
      <x:c r="G117" s="18" t="n">
        <x:v>3</x:v>
      </x:c>
      <x:c r="H117" s="18" t="n">
        <x:v>3</x:v>
      </x:c>
      <x:c r="I117" s="18" t="n">
        <x:v>0.5</x:v>
      </x:c>
      <x:c r="J117" s="18" t="n">
        <x:v>0.25</x:v>
      </x:c>
      <x:c r="K117" s="18" t="n">
        <x:f>I117+J117</x:f>
        <x:v>0.75</x:v>
      </x:c>
      <x:c r="L117" s="18" t="n">
        <x:v>0</x:v>
      </x:c>
      <x:c r="M117" s="18" t="n">
        <x:v>0</x:v>
      </x:c>
      <x:c r="N117" s="18" t="n">
        <x:f>L117+M117</x:f>
        <x:v>0</x:v>
      </x:c>
      <x:c r="O117" s="18" t="n">
        <x:f>MAX(0,G117-I117-J117)</x:f>
        <x:v>2.25</x:v>
      </x:c>
      <x:c r="P117" s="18" t="n">
        <x:f>MAX(0,G117-8)</x:f>
        <x:v>0</x:v>
      </x:c>
      <x:c r="Q117" s="18" t="n">
        <x:f>ROUND(MIN(100,MAX(0,(O117/6.5)*100-N117*3+P117*4)),1)</x:f>
        <x:v>34.6</x:v>
      </x:c>
      <x:c r="R117" s="17" t="str">
        <x:f>IF(Q117&gt;=85,"High",IF(Q117&gt;=65,"Medium","Low"))</x:f>
        <x:v>Low</x:v>
      </x:c>
      <x:c r="S117" s="17" t="str">
        <x:f>IF(L117&gt;=8,"Leave",IF(L117&gt;0,"Half Day",IF(M117&gt;0,"Permission",IF(P117&gt;0,"Overtime","Regular"))))</x:f>
        <x:v>Regular</x:v>
      </x:c>
    </x:row>
    <x:row r="118">
      <x:c r="A118" s="16" t="n">
        <x:v>46159</x:v>
      </x:c>
      <x:c r="B118" s="17" t="str">
        <x:v>Sunday</x:v>
      </x:c>
      <x:c r="C118" s="17" t="str">
        <x:v>EMP005</x:v>
      </x:c>
      <x:c r="D118" s="17" t="str">
        <x:v>Rahul</x:v>
      </x:c>
      <x:c r="E118" s="17" t="str">
        <x:v>Workload Balancing Dashboard</x:v>
      </x:c>
      <x:c r="F118" s="17" t="str">
        <x:v>Data Cleaning</x:v>
      </x:c>
      <x:c r="G118" s="18" t="n">
        <x:v>0</x:v>
      </x:c>
      <x:c r="H118" s="18" t="n">
        <x:v>0</x:v>
      </x:c>
      <x:c r="I118" s="18" t="n">
        <x:v>0</x:v>
      </x:c>
      <x:c r="J118" s="18" t="n">
        <x:v>0</x:v>
      </x:c>
      <x:c r="K118" s="18" t="n">
        <x:f>I118+J118</x:f>
        <x:v>0</x:v>
      </x:c>
      <x:c r="L118" s="18" t="n">
        <x:v>0</x:v>
      </x:c>
      <x:c r="M118" s="18" t="n">
        <x:v>0</x:v>
      </x:c>
      <x:c r="N118" s="18" t="n">
        <x:f>L118+M118</x:f>
        <x:v>0</x:v>
      </x:c>
      <x:c r="O118" s="18" t="n">
        <x:f>MAX(0,G118-I118-J118)</x:f>
        <x:v>0</x:v>
      </x:c>
      <x:c r="P118" s="18" t="n">
        <x:f>MAX(0,G118-8)</x:f>
        <x:v>0</x:v>
      </x:c>
      <x:c r="Q118" s="18" t="n">
        <x:f>ROUND(MIN(100,MAX(0,(O118/6.5)*100-N118*3+P118*4)),1)</x:f>
        <x:v>0</x:v>
      </x:c>
      <x:c r="R118" s="17" t="str">
        <x:f>IF(Q118&gt;=85,"High",IF(Q118&gt;=65,"Medium","Low"))</x:f>
        <x:v>Low</x:v>
      </x:c>
      <x:c r="S118" s="17" t="str">
        <x:f>IF(L118&gt;=8,"Leave",IF(L118&gt;0,"Half Day",IF(M118&gt;0,"Permission",IF(P118&gt;0,"Overtime","Regular"))))</x:f>
        <x:v>Regular</x:v>
      </x:c>
    </x:row>
    <x:row r="119">
      <x:c r="A119" s="16" t="n">
        <x:v>46160</x:v>
      </x:c>
      <x:c r="B119" s="17" t="str">
        <x:v>Monday</x:v>
      </x:c>
      <x:c r="C119" s="17" t="str">
        <x:v>EMP006</x:v>
      </x:c>
      <x:c r="D119" s="17" t="str">
        <x:v>Swathi</x:v>
      </x:c>
      <x:c r="E119" s="17" t="str">
        <x:v>Task Time Prediction Model</x:v>
      </x:c>
      <x:c r="F119" s="17" t="str">
        <x:v>Bug Fixing</x:v>
      </x:c>
      <x:c r="G119" s="18" t="n">
        <x:v>9</x:v>
      </x:c>
      <x:c r="H119" s="18" t="n">
        <x:v>8</x:v>
      </x:c>
      <x:c r="I119" s="18" t="n">
        <x:v>1</x:v>
      </x:c>
      <x:c r="J119" s="18" t="n">
        <x:v>0.5</x:v>
      </x:c>
      <x:c r="K119" s="18" t="n">
        <x:f>I119+J119</x:f>
        <x:v>1.5</x:v>
      </x:c>
      <x:c r="L119" s="18" t="n">
        <x:v>0</x:v>
      </x:c>
      <x:c r="M119" s="18" t="n">
        <x:v>0</x:v>
      </x:c>
      <x:c r="N119" s="18" t="n">
        <x:f>L119+M119</x:f>
        <x:v>0</x:v>
      </x:c>
      <x:c r="O119" s="18" t="n">
        <x:f>MAX(0,G119-I119-J119)</x:f>
        <x:v>7.5</x:v>
      </x:c>
      <x:c r="P119" s="18" t="n">
        <x:f>MAX(0,G119-8)</x:f>
        <x:v>1</x:v>
      </x:c>
      <x:c r="Q119" s="18" t="n">
        <x:f>ROUND(MIN(100,MAX(0,(O119/6.5)*100-N119*3+P119*4)),1)</x:f>
        <x:v>100</x:v>
      </x:c>
      <x:c r="R119" s="17" t="str">
        <x:f>IF(Q119&gt;=85,"High",IF(Q119&gt;=65,"Medium","Low"))</x:f>
        <x:v>High</x:v>
      </x:c>
      <x:c r="S119" s="17" t="str">
        <x:f>IF(L119&gt;=8,"Leave",IF(L119&gt;0,"Half Day",IF(M119&gt;0,"Permission",IF(P119&gt;0,"Overtime","Regular"))))</x:f>
        <x:v>Overtime</x:v>
      </x:c>
    </x:row>
    <x:row r="120">
      <x:c r="A120" s="16" t="n">
        <x:v>46161</x:v>
      </x:c>
      <x:c r="B120" s="17" t="str">
        <x:v>Tuesday</x:v>
      </x:c>
      <x:c r="C120" s="17" t="str">
        <x:v>EMP007</x:v>
      </x:c>
      <x:c r="D120" s="17" t="str">
        <x:v>Nisha</x:v>
      </x:c>
      <x:c r="E120" s="17" t="str">
        <x:v>Workload Balancing Dashboard</x:v>
      </x:c>
      <x:c r="F120" s="17" t="str">
        <x:v>Dashboard Design</x:v>
      </x:c>
      <x:c r="G120" s="18" t="n">
        <x:v>8.5</x:v>
      </x:c>
      <x:c r="H120" s="18" t="n">
        <x:v>8</x:v>
      </x:c>
      <x:c r="I120" s="18" t="n">
        <x:v>1</x:v>
      </x:c>
      <x:c r="J120" s="18" t="n">
        <x:v>0.5</x:v>
      </x:c>
      <x:c r="K120" s="18" t="n">
        <x:f>I120+J120</x:f>
        <x:v>1.5</x:v>
      </x:c>
      <x:c r="L120" s="18" t="n">
        <x:v>0</x:v>
      </x:c>
      <x:c r="M120" s="18" t="n">
        <x:v>0</x:v>
      </x:c>
      <x:c r="N120" s="18" t="n">
        <x:f>L120+M120</x:f>
        <x:v>0</x:v>
      </x:c>
      <x:c r="O120" s="18" t="n">
        <x:f>MAX(0,G120-I120-J120)</x:f>
        <x:v>7</x:v>
      </x:c>
      <x:c r="P120" s="18" t="n">
        <x:f>MAX(0,G120-8)</x:f>
        <x:v>0.5</x:v>
      </x:c>
      <x:c r="Q120" s="18" t="n">
        <x:f>ROUND(MIN(100,MAX(0,(O120/6.5)*100-N120*3+P120*4)),1)</x:f>
        <x:v>100</x:v>
      </x:c>
      <x:c r="R120" s="17" t="str">
        <x:f>IF(Q120&gt;=85,"High",IF(Q120&gt;=65,"Medium","Low"))</x:f>
        <x:v>High</x:v>
      </x:c>
      <x:c r="S120" s="17" t="str">
        <x:f>IF(L120&gt;=8,"Leave",IF(L120&gt;0,"Half Day",IF(M120&gt;0,"Permission",IF(P120&gt;0,"Overtime","Regular"))))</x:f>
        <x:v>Overtime</x:v>
      </x:c>
    </x:row>
    <x:row r="121">
      <x:c r="A121" s="16" t="n">
        <x:v>46162</x:v>
      </x:c>
      <x:c r="B121" s="17" t="str">
        <x:v>Wednesday</x:v>
      </x:c>
      <x:c r="C121" s="17" t="str">
        <x:v>EMP008</x:v>
      </x:c>
      <x:c r="D121" s="17" t="str">
        <x:v>Vikram</x:v>
      </x:c>
      <x:c r="E121" s="17" t="str">
        <x:v>Task Time Prediction Model</x:v>
      </x:c>
      <x:c r="F121" s="17" t="str">
        <x:v>Feature Engineering</x:v>
      </x:c>
      <x:c r="G121" s="18" t="n">
        <x:v>7</x:v>
      </x:c>
      <x:c r="H121" s="18" t="n">
        <x:v>7</x:v>
      </x:c>
      <x:c r="I121" s="18" t="n">
        <x:v>1</x:v>
      </x:c>
      <x:c r="J121" s="18" t="n">
        <x:v>0.5</x:v>
      </x:c>
      <x:c r="K121" s="18" t="n">
        <x:f>I121+J121</x:f>
        <x:v>1.5</x:v>
      </x:c>
      <x:c r="L121" s="18" t="n">
        <x:v>0</x:v>
      </x:c>
      <x:c r="M121" s="18" t="n">
        <x:v>0</x:v>
      </x:c>
      <x:c r="N121" s="18" t="n">
        <x:f>L121+M121</x:f>
        <x:v>0</x:v>
      </x:c>
      <x:c r="O121" s="18" t="n">
        <x:f>MAX(0,G121-I121-J121)</x:f>
        <x:v>5.5</x:v>
      </x:c>
      <x:c r="P121" s="18" t="n">
        <x:f>MAX(0,G121-8)</x:f>
        <x:v>0</x:v>
      </x:c>
      <x:c r="Q121" s="18" t="n">
        <x:f>ROUND(MIN(100,MAX(0,(O121/6.5)*100-N121*3+P121*4)),1)</x:f>
        <x:v>84.6</x:v>
      </x:c>
      <x:c r="R121" s="17" t="str">
        <x:f>IF(Q121&gt;=85,"High",IF(Q121&gt;=65,"Medium","Low"))</x:f>
        <x:v>Medium</x:v>
      </x:c>
      <x:c r="S121" s="17" t="str">
        <x:f>IF(L121&gt;=8,"Leave",IF(L121&gt;0,"Half Day",IF(M121&gt;0,"Permission",IF(P121&gt;0,"Overtime","Regular"))))</x:f>
        <x:v>Regular</x:v>
      </x:c>
    </x:row>
    <x:row r="122">
      <x:c r="A122" s="16" t="n">
        <x:v>46143</x:v>
      </x:c>
      <x:c r="B122" s="17" t="str">
        <x:v>Friday</x:v>
      </x:c>
      <x:c r="C122" s="17" t="str">
        <x:v>EMP001</x:v>
      </x:c>
      <x:c r="D122" s="17" t="str">
        <x:v>Aarav</x:v>
      </x:c>
      <x:c r="E122" s="17" t="str">
        <x:v>AI Employee Productivity Tracker</x:v>
      </x:c>
      <x:c r="F122" s="17" t="str">
        <x:v>Data Collection</x:v>
      </x:c>
      <x:c r="G122" s="18" t="n">
        <x:v>8</x:v>
      </x:c>
      <x:c r="H122" s="18" t="n">
        <x:v>8</x:v>
      </x:c>
      <x:c r="I122" s="18" t="n">
        <x:v>1</x:v>
      </x:c>
      <x:c r="J122" s="18" t="n">
        <x:v>0.5</x:v>
      </x:c>
      <x:c r="K122" s="18" t="n">
        <x:f>I122+J122</x:f>
        <x:v>1.5</x:v>
      </x:c>
      <x:c r="L122" s="18" t="n">
        <x:v>0</x:v>
      </x:c>
      <x:c r="M122" s="18" t="n">
        <x:v>0</x:v>
      </x:c>
      <x:c r="N122" s="18" t="n">
        <x:f>L122+M122</x:f>
        <x:v>0</x:v>
      </x:c>
      <x:c r="O122" s="18" t="n">
        <x:f>MAX(0,G122-I122-J122)</x:f>
        <x:v>6.5</x:v>
      </x:c>
      <x:c r="P122" s="18" t="n">
        <x:f>MAX(0,G122-8)</x:f>
        <x:v>0</x:v>
      </x:c>
      <x:c r="Q122" s="18" t="n">
        <x:f>ROUND(MIN(100,MAX(0,(O122/6.5)*100-N122*3+P122*4)),1)</x:f>
        <x:v>100</x:v>
      </x:c>
      <x:c r="R122" s="17" t="str">
        <x:f>IF(Q122&gt;=85,"High",IF(Q122&gt;=65,"Medium","Low"))</x:f>
        <x:v>High</x:v>
      </x:c>
      <x:c r="S122" s="17" t="str">
        <x:f>IF(L122&gt;=8,"Leave",IF(L122&gt;0,"Half Day",IF(M122&gt;0,"Permission",IF(P122&gt;0,"Overtime","Regular"))))</x:f>
        <x:v>Regular</x:v>
      </x:c>
    </x:row>
    <x:row r="123">
      <x:c r="A123" s="16" t="n">
        <x:v>46144</x:v>
      </x:c>
      <x:c r="B123" s="17" t="str">
        <x:v>Saturday</x:v>
      </x:c>
      <x:c r="C123" s="17" t="str">
        <x:v>EMP002</x:v>
      </x:c>
      <x:c r="D123" s="17" t="str">
        <x:v>Diya</x:v>
      </x:c>
      <x:c r="E123" s="17" t="str">
        <x:v>Project Cost Estimator</x:v>
      </x:c>
      <x:c r="F123" s="17" t="str">
        <x:v>Client Review</x:v>
      </x:c>
      <x:c r="G123" s="18" t="n">
        <x:v>0</x:v>
      </x:c>
      <x:c r="H123" s="18" t="n">
        <x:v>0</x:v>
      </x:c>
      <x:c r="I123" s="18" t="n">
        <x:v>0</x:v>
      </x:c>
      <x:c r="J123" s="18" t="n">
        <x:v>0</x:v>
      </x:c>
      <x:c r="K123" s="18" t="n">
        <x:f>I123+J123</x:f>
        <x:v>0</x:v>
      </x:c>
      <x:c r="L123" s="18" t="n">
        <x:v>0</x:v>
      </x:c>
      <x:c r="M123" s="18" t="n">
        <x:v>0</x:v>
      </x:c>
      <x:c r="N123" s="18" t="n">
        <x:f>L123+M123</x:f>
        <x:v>0</x:v>
      </x:c>
      <x:c r="O123" s="18" t="n">
        <x:f>MAX(0,G123-I123-J123)</x:f>
        <x:v>0</x:v>
      </x:c>
      <x:c r="P123" s="18" t="n">
        <x:f>MAX(0,G123-8)</x:f>
        <x:v>0</x:v>
      </x:c>
      <x:c r="Q123" s="18" t="n">
        <x:f>ROUND(MIN(100,MAX(0,(O123/6.5)*100-N123*3+P123*4)),1)</x:f>
        <x:v>0</x:v>
      </x:c>
      <x:c r="R123" s="17" t="str">
        <x:f>IF(Q123&gt;=85,"High",IF(Q123&gt;=65,"Medium","Low"))</x:f>
        <x:v>Low</x:v>
      </x:c>
      <x:c r="S123" s="17" t="str">
        <x:f>IF(L123&gt;=8,"Leave",IF(L123&gt;0,"Half Day",IF(M123&gt;0,"Permission",IF(P123&gt;0,"Overtime","Regular"))))</x:f>
        <x:v>Regular</x:v>
      </x:c>
    </x:row>
    <x:row r="124">
      <x:c r="A124" s="16" t="n">
        <x:v>46145</x:v>
      </x:c>
      <x:c r="B124" s="17" t="str">
        <x:v>Sunday</x:v>
      </x:c>
      <x:c r="C124" s="17" t="str">
        <x:v>EMP003</x:v>
      </x:c>
      <x:c r="D124" s="17" t="str">
        <x:v>Kavin</x:v>
      </x:c>
      <x:c r="E124" s="17" t="str">
        <x:v>AI Employee Productivity Tracker</x:v>
      </x:c>
      <x:c r="F124" s="17" t="str">
        <x:v>Model Testing</x:v>
      </x:c>
      <x:c r="G124" s="18" t="n">
        <x:v>0</x:v>
      </x:c>
      <x:c r="H124" s="18" t="n">
        <x:v>0</x:v>
      </x:c>
      <x:c r="I124" s="18" t="n">
        <x:v>0</x:v>
      </x:c>
      <x:c r="J124" s="18" t="n">
        <x:v>0</x:v>
      </x:c>
      <x:c r="K124" s="18" t="n">
        <x:f>I124+J124</x:f>
        <x:v>0</x:v>
      </x:c>
      <x:c r="L124" s="18" t="n">
        <x:v>0</x:v>
      </x:c>
      <x:c r="M124" s="18" t="n">
        <x:v>0</x:v>
      </x:c>
      <x:c r="N124" s="18" t="n">
        <x:f>L124+M124</x:f>
        <x:v>0</x:v>
      </x:c>
      <x:c r="O124" s="18" t="n">
        <x:f>MAX(0,G124-I124-J124)</x:f>
        <x:v>0</x:v>
      </x:c>
      <x:c r="P124" s="18" t="n">
        <x:f>MAX(0,G124-8)</x:f>
        <x:v>0</x:v>
      </x:c>
      <x:c r="Q124" s="18" t="n">
        <x:f>ROUND(MIN(100,MAX(0,(O124/6.5)*100-N124*3+P124*4)),1)</x:f>
        <x:v>0</x:v>
      </x:c>
      <x:c r="R124" s="17" t="str">
        <x:f>IF(Q124&gt;=85,"High",IF(Q124&gt;=65,"Medium","Low"))</x:f>
        <x:v>Low</x:v>
      </x:c>
      <x:c r="S124" s="17" t="str">
        <x:f>IF(L124&gt;=8,"Leave",IF(L124&gt;0,"Half Day",IF(M124&gt;0,"Permission",IF(P124&gt;0,"Overtime","Regular"))))</x:f>
        <x:v>Regular</x:v>
      </x:c>
    </x:row>
    <x:row r="125">
      <x:c r="A125" s="16" t="n">
        <x:v>46146</x:v>
      </x:c>
      <x:c r="B125" s="17" t="str">
        <x:v>Monday</x:v>
      </x:c>
      <x:c r="C125" s="17" t="str">
        <x:v>EMP004</x:v>
      </x:c>
      <x:c r="D125" s="17" t="str">
        <x:v>Meera</x:v>
      </x:c>
      <x:c r="E125" s="17" t="str">
        <x:v>Project Cost Estimator</x:v>
      </x:c>
      <x:c r="F125" s="17" t="str">
        <x:v>Data Cleaning</x:v>
      </x:c>
      <x:c r="G125" s="18" t="n">
        <x:v>5</x:v>
      </x:c>
      <x:c r="H125" s="18" t="n">
        <x:v>5</x:v>
      </x:c>
      <x:c r="I125" s="18" t="n">
        <x:v>1</x:v>
      </x:c>
      <x:c r="J125" s="18" t="n">
        <x:v>0.25</x:v>
      </x:c>
      <x:c r="K125" s="18" t="n">
        <x:f>I125+J125</x:f>
        <x:v>1.25</x:v>
      </x:c>
      <x:c r="L125" s="18" t="n">
        <x:v>0</x:v>
      </x:c>
      <x:c r="M125" s="18" t="n">
        <x:v>2</x:v>
      </x:c>
      <x:c r="N125" s="18" t="n">
        <x:f>L125+M125</x:f>
        <x:v>2</x:v>
      </x:c>
      <x:c r="O125" s="18" t="n">
        <x:f>MAX(0,G125-I125-J125)</x:f>
        <x:v>3.75</x:v>
      </x:c>
      <x:c r="P125" s="18" t="n">
        <x:f>MAX(0,G125-8)</x:f>
        <x:v>0</x:v>
      </x:c>
      <x:c r="Q125" s="18" t="n">
        <x:f>ROUND(MIN(100,MAX(0,(O125/6.5)*100-N125*3+P125*4)),1)</x:f>
        <x:v>51.7</x:v>
      </x:c>
      <x:c r="R125" s="17" t="str">
        <x:f>IF(Q125&gt;=85,"High",IF(Q125&gt;=65,"Medium","Low"))</x:f>
        <x:v>Low</x:v>
      </x:c>
      <x:c r="S125" s="17" t="str">
        <x:f>IF(L125&gt;=8,"Leave",IF(L125&gt;0,"Half Day",IF(M125&gt;0,"Permission",IF(P125&gt;0,"Overtime","Regular"))))</x:f>
        <x:v>Permission</x:v>
      </x:c>
    </x:row>
    <x:row r="126">
      <x:c r="A126" s="16" t="n">
        <x:v>46147</x:v>
      </x:c>
      <x:c r="B126" s="17" t="str">
        <x:v>Tuesday</x:v>
      </x:c>
      <x:c r="C126" s="17" t="str">
        <x:v>EMP005</x:v>
      </x:c>
      <x:c r="D126" s="17" t="str">
        <x:v>Rahul</x:v>
      </x:c>
      <x:c r="E126" s="17" t="str">
        <x:v>AI Employee Productivity Tracker</x:v>
      </x:c>
      <x:c r="F126" s="17" t="str">
        <x:v>Deployment</x:v>
      </x:c>
      <x:c r="G126" s="18" t="n">
        <x:v>8</x:v>
      </x:c>
      <x:c r="H126" s="18" t="n">
        <x:v>8</x:v>
      </x:c>
      <x:c r="I126" s="18" t="n">
        <x:v>1</x:v>
      </x:c>
      <x:c r="J126" s="18" t="n">
        <x:v>0.5</x:v>
      </x:c>
      <x:c r="K126" s="18" t="n">
        <x:f>I126+J126</x:f>
        <x:v>1.5</x:v>
      </x:c>
      <x:c r="L126" s="18" t="n">
        <x:v>0</x:v>
      </x:c>
      <x:c r="M126" s="18" t="n">
        <x:v>0</x:v>
      </x:c>
      <x:c r="N126" s="18" t="n">
        <x:f>L126+M126</x:f>
        <x:v>0</x:v>
      </x:c>
      <x:c r="O126" s="18" t="n">
        <x:f>MAX(0,G126-I126-J126)</x:f>
        <x:v>6.5</x:v>
      </x:c>
      <x:c r="P126" s="18" t="n">
        <x:f>MAX(0,G126-8)</x:f>
        <x:v>0</x:v>
      </x:c>
      <x:c r="Q126" s="18" t="n">
        <x:f>ROUND(MIN(100,MAX(0,(O126/6.5)*100-N126*3+P126*4)),1)</x:f>
        <x:v>100</x:v>
      </x:c>
      <x:c r="R126" s="17" t="str">
        <x:f>IF(Q126&gt;=85,"High",IF(Q126&gt;=65,"Medium","Low"))</x:f>
        <x:v>High</x:v>
      </x:c>
      <x:c r="S126" s="17" t="str">
        <x:f>IF(L126&gt;=8,"Leave",IF(L126&gt;0,"Half Day",IF(M126&gt;0,"Permission",IF(P126&gt;0,"Overtime","Regular"))))</x:f>
        <x:v>Regular</x:v>
      </x:c>
    </x:row>
    <x:row r="127">
      <x:c r="A127" s="16" t="n">
        <x:v>46148</x:v>
      </x:c>
      <x:c r="B127" s="17" t="str">
        <x:v>Wednesday</x:v>
      </x:c>
      <x:c r="C127" s="17" t="str">
        <x:v>EMP006</x:v>
      </x:c>
      <x:c r="D127" s="17" t="str">
        <x:v>Swathi</x:v>
      </x:c>
      <x:c r="E127" s="17" t="str">
        <x:v>Leave Pattern Analysis</x:v>
      </x:c>
      <x:c r="F127" s="17" t="str">
        <x:v>Documentation</x:v>
      </x:c>
      <x:c r="G127" s="18" t="n">
        <x:v>6</x:v>
      </x:c>
      <x:c r="H127" s="18" t="n">
        <x:v>6</x:v>
      </x:c>
      <x:c r="I127" s="18" t="n">
        <x:v>1</x:v>
      </x:c>
      <x:c r="J127" s="18" t="n">
        <x:v>0.5</x:v>
      </x:c>
      <x:c r="K127" s="18" t="n">
        <x:f>I127+J127</x:f>
        <x:v>1.5</x:v>
      </x:c>
      <x:c r="L127" s="18" t="n">
        <x:v>0</x:v>
      </x:c>
      <x:c r="M127" s="18" t="n">
        <x:v>0</x:v>
      </x:c>
      <x:c r="N127" s="18" t="n">
        <x:f>L127+M127</x:f>
        <x:v>0</x:v>
      </x:c>
      <x:c r="O127" s="18" t="n">
        <x:f>MAX(0,G127-I127-J127)</x:f>
        <x:v>4.5</x:v>
      </x:c>
      <x:c r="P127" s="18" t="n">
        <x:f>MAX(0,G127-8)</x:f>
        <x:v>0</x:v>
      </x:c>
      <x:c r="Q127" s="18" t="n">
        <x:f>ROUND(MIN(100,MAX(0,(O127/6.5)*100-N127*3+P127*4)),1)</x:f>
        <x:v>69.2</x:v>
      </x:c>
      <x:c r="R127" s="17" t="str">
        <x:f>IF(Q127&gt;=85,"High",IF(Q127&gt;=65,"Medium","Low"))</x:f>
        <x:v>Medium</x:v>
      </x:c>
      <x:c r="S127" s="17" t="str">
        <x:f>IF(L127&gt;=8,"Leave",IF(L127&gt;0,"Half Day",IF(M127&gt;0,"Permission",IF(P127&gt;0,"Overtime","Regular"))))</x:f>
        <x:v>Regular</x:v>
      </x:c>
    </x:row>
    <x:row r="128">
      <x:c r="A128" s="16" t="n">
        <x:v>46149</x:v>
      </x:c>
      <x:c r="B128" s="17" t="str">
        <x:v>Thursday</x:v>
      </x:c>
      <x:c r="C128" s="17" t="str">
        <x:v>EMP007</x:v>
      </x:c>
      <x:c r="D128" s="17" t="str">
        <x:v>Nisha</x:v>
      </x:c>
      <x:c r="E128" s="17" t="str">
        <x:v>Smart Attendance Analytics</x:v>
      </x:c>
      <x:c r="F128" s="17" t="str">
        <x:v>Model Training</x:v>
      </x:c>
      <x:c r="G128" s="18" t="n">
        <x:v>9</x:v>
      </x:c>
      <x:c r="H128" s="18" t="n">
        <x:v>8</x:v>
      </x:c>
      <x:c r="I128" s="18" t="n">
        <x:v>1</x:v>
      </x:c>
      <x:c r="J128" s="18" t="n">
        <x:v>0.5</x:v>
      </x:c>
      <x:c r="K128" s="18" t="n">
        <x:f>I128+J128</x:f>
        <x:v>1.5</x:v>
      </x:c>
      <x:c r="L128" s="18" t="n">
        <x:v>0</x:v>
      </x:c>
      <x:c r="M128" s="18" t="n">
        <x:v>0</x:v>
      </x:c>
      <x:c r="N128" s="18" t="n">
        <x:f>L128+M128</x:f>
        <x:v>0</x:v>
      </x:c>
      <x:c r="O128" s="18" t="n">
        <x:f>MAX(0,G128-I128-J128)</x:f>
        <x:v>7.5</x:v>
      </x:c>
      <x:c r="P128" s="18" t="n">
        <x:f>MAX(0,G128-8)</x:f>
        <x:v>1</x:v>
      </x:c>
      <x:c r="Q128" s="18" t="n">
        <x:f>ROUND(MIN(100,MAX(0,(O128/6.5)*100-N128*3+P128*4)),1)</x:f>
        <x:v>100</x:v>
      </x:c>
      <x:c r="R128" s="17" t="str">
        <x:f>IF(Q128&gt;=85,"High",IF(Q128&gt;=65,"Medium","Low"))</x:f>
        <x:v>High</x:v>
      </x:c>
      <x:c r="S128" s="17" t="str">
        <x:f>IF(L128&gt;=8,"Leave",IF(L128&gt;0,"Half Day",IF(M128&gt;0,"Permission",IF(P128&gt;0,"Overtime","Regular"))))</x:f>
        <x:v>Overtime</x:v>
      </x:c>
    </x:row>
    <x:row r="129">
      <x:c r="A129" s="16" t="n">
        <x:v>46150</x:v>
      </x:c>
      <x:c r="B129" s="17" t="str">
        <x:v>Friday</x:v>
      </x:c>
      <x:c r="C129" s="17" t="str">
        <x:v>EMP008</x:v>
      </x:c>
      <x:c r="D129" s="17" t="str">
        <x:v>Vikram</x:v>
      </x:c>
      <x:c r="E129" s="17" t="str">
        <x:v>Leave Pattern Analysis</x:v>
      </x:c>
      <x:c r="F129" s="17" t="str">
        <x:v>Data Collection</x:v>
      </x:c>
      <x:c r="G129" s="18" t="n">
        <x:v>6</x:v>
      </x:c>
      <x:c r="H129" s="18" t="n">
        <x:v>6</x:v>
      </x:c>
      <x:c r="I129" s="18" t="n">
        <x:v>1</x:v>
      </x:c>
      <x:c r="J129" s="18" t="n">
        <x:v>0.5</x:v>
      </x:c>
      <x:c r="K129" s="18" t="n">
        <x:f>I129+J129</x:f>
        <x:v>1.5</x:v>
      </x:c>
      <x:c r="L129" s="18" t="n">
        <x:v>0</x:v>
      </x:c>
      <x:c r="M129" s="18" t="n">
        <x:v>2</x:v>
      </x:c>
      <x:c r="N129" s="18" t="n">
        <x:f>L129+M129</x:f>
        <x:v>2</x:v>
      </x:c>
      <x:c r="O129" s="18" t="n">
        <x:f>MAX(0,G129-I129-J129)</x:f>
        <x:v>4.5</x:v>
      </x:c>
      <x:c r="P129" s="18" t="n">
        <x:f>MAX(0,G129-8)</x:f>
        <x:v>0</x:v>
      </x:c>
      <x:c r="Q129" s="18" t="n">
        <x:f>ROUND(MIN(100,MAX(0,(O129/6.5)*100-N129*3+P129*4)),1)</x:f>
        <x:v>63.2</x:v>
      </x:c>
      <x:c r="R129" s="17" t="str">
        <x:f>IF(Q129&gt;=85,"High",IF(Q129&gt;=65,"Medium","Low"))</x:f>
        <x:v>Low</x:v>
      </x:c>
      <x:c r="S129" s="17" t="str">
        <x:f>IF(L129&gt;=8,"Leave",IF(L129&gt;0,"Half Day",IF(M129&gt;0,"Permission",IF(P129&gt;0,"Overtime","Regular"))))</x:f>
        <x:v>Permission</x:v>
      </x:c>
    </x:row>
    <x:row r="130">
      <x:c r="A130" s="16" t="n">
        <x:v>46151</x:v>
      </x:c>
      <x:c r="B130" s="17" t="str">
        <x:v>Saturday</x:v>
      </x:c>
      <x:c r="C130" s="17" t="str">
        <x:v>EMP001</x:v>
      </x:c>
      <x:c r="D130" s="17" t="str">
        <x:v>Aarav</x:v>
      </x:c>
      <x:c r="E130" s="17" t="str">
        <x:v>Smart Attendance Analytics</x:v>
      </x:c>
      <x:c r="F130" s="17" t="str">
        <x:v>Bug Fixing</x:v>
      </x:c>
      <x:c r="G130" s="18" t="n">
        <x:v>2</x:v>
      </x:c>
      <x:c r="H130" s="18" t="n">
        <x:v>2</x:v>
      </x:c>
      <x:c r="I130" s="18" t="n">
        <x:v>0.5</x:v>
      </x:c>
      <x:c r="J130" s="18" t="n">
        <x:v>0.25</x:v>
      </x:c>
      <x:c r="K130" s="18" t="n">
        <x:f>I130+J130</x:f>
        <x:v>0.75</x:v>
      </x:c>
      <x:c r="L130" s="18" t="n">
        <x:v>0</x:v>
      </x:c>
      <x:c r="M130" s="18" t="n">
        <x:v>0</x:v>
      </x:c>
      <x:c r="N130" s="18" t="n">
        <x:f>L130+M130</x:f>
        <x:v>0</x:v>
      </x:c>
      <x:c r="O130" s="18" t="n">
        <x:f>MAX(0,G130-I130-J130)</x:f>
        <x:v>1.25</x:v>
      </x:c>
      <x:c r="P130" s="18" t="n">
        <x:f>MAX(0,G130-8)</x:f>
        <x:v>0</x:v>
      </x:c>
      <x:c r="Q130" s="18" t="n">
        <x:f>ROUND(MIN(100,MAX(0,(O130/6.5)*100-N130*3+P130*4)),1)</x:f>
        <x:v>19.2</x:v>
      </x:c>
      <x:c r="R130" s="17" t="str">
        <x:f>IF(Q130&gt;=85,"High",IF(Q130&gt;=65,"Medium","Low"))</x:f>
        <x:v>Low</x:v>
      </x:c>
      <x:c r="S130" s="17" t="str">
        <x:f>IF(L130&gt;=8,"Leave",IF(L130&gt;0,"Half Day",IF(M130&gt;0,"Permission",IF(P130&gt;0,"Overtime","Regular"))))</x:f>
        <x:v>Regular</x:v>
      </x:c>
    </x:row>
    <x:row r="131">
      <x:c r="A131" s="16" t="n">
        <x:v>46152</x:v>
      </x:c>
      <x:c r="B131" s="17" t="str">
        <x:v>Sunday</x:v>
      </x:c>
      <x:c r="C131" s="17" t="str">
        <x:v>EMP002</x:v>
      </x:c>
      <x:c r="D131" s="17" t="str">
        <x:v>Diya</x:v>
      </x:c>
      <x:c r="E131" s="17" t="str">
        <x:v>Leave Pattern Analysis</x:v>
      </x:c>
      <x:c r="F131" s="17" t="str">
        <x:v>Dashboard Design</x:v>
      </x:c>
      <x:c r="G131" s="18" t="n">
        <x:v>0</x:v>
      </x:c>
      <x:c r="H131" s="18" t="n">
        <x:v>0</x:v>
      </x:c>
      <x:c r="I131" s="18" t="n">
        <x:v>0</x:v>
      </x:c>
      <x:c r="J131" s="18" t="n">
        <x:v>0</x:v>
      </x:c>
      <x:c r="K131" s="18" t="n">
        <x:f>I131+J131</x:f>
        <x:v>0</x:v>
      </x:c>
      <x:c r="L131" s="18" t="n">
        <x:v>0</x:v>
      </x:c>
      <x:c r="M131" s="18" t="n">
        <x:v>0</x:v>
      </x:c>
      <x:c r="N131" s="18" t="n">
        <x:f>L131+M131</x:f>
        <x:v>0</x:v>
      </x:c>
      <x:c r="O131" s="18" t="n">
        <x:f>MAX(0,G131-I131-J131)</x:f>
        <x:v>0</x:v>
      </x:c>
      <x:c r="P131" s="18" t="n">
        <x:f>MAX(0,G131-8)</x:f>
        <x:v>0</x:v>
      </x:c>
      <x:c r="Q131" s="18" t="n">
        <x:f>ROUND(MIN(100,MAX(0,(O131/6.5)*100-N131*3+P131*4)),1)</x:f>
        <x:v>0</x:v>
      </x:c>
      <x:c r="R131" s="17" t="str">
        <x:f>IF(Q131&gt;=85,"High",IF(Q131&gt;=65,"Medium","Low"))</x:f>
        <x:v>Low</x:v>
      </x:c>
      <x:c r="S131" s="17" t="str">
        <x:f>IF(L131&gt;=8,"Leave",IF(L131&gt;0,"Half Day",IF(M131&gt;0,"Permission",IF(P131&gt;0,"Overtime","Regular"))))</x:f>
        <x:v>Regular</x:v>
      </x:c>
    </x:row>
    <x:row r="132">
      <x:c r="A132" s="16" t="n">
        <x:v>46153</x:v>
      </x:c>
      <x:c r="B132" s="17" t="str">
        <x:v>Monday</x:v>
      </x:c>
      <x:c r="C132" s="17" t="str">
        <x:v>EMP003</x:v>
      </x:c>
      <x:c r="D132" s="17" t="str">
        <x:v>Kavin</x:v>
      </x:c>
      <x:c r="E132" s="17" t="str">
        <x:v>Task Time Prediction Model</x:v>
      </x:c>
      <x:c r="F132" s="17" t="str">
        <x:v>Feature Engineering</x:v>
      </x:c>
      <x:c r="G132" s="18" t="n">
        <x:v>7</x:v>
      </x:c>
      <x:c r="H132" s="18" t="n">
        <x:v>7</x:v>
      </x:c>
      <x:c r="I132" s="18" t="n">
        <x:v>1</x:v>
      </x:c>
      <x:c r="J132" s="18" t="n">
        <x:v>0.5</x:v>
      </x:c>
      <x:c r="K132" s="18" t="n">
        <x:f>I132+J132</x:f>
        <x:v>1.5</x:v>
      </x:c>
      <x:c r="L132" s="18" t="n">
        <x:v>0</x:v>
      </x:c>
      <x:c r="M132" s="18" t="n">
        <x:v>0</x:v>
      </x:c>
      <x:c r="N132" s="18" t="n">
        <x:f>L132+M132</x:f>
        <x:v>0</x:v>
      </x:c>
      <x:c r="O132" s="18" t="n">
        <x:f>MAX(0,G132-I132-J132)</x:f>
        <x:v>5.5</x:v>
      </x:c>
      <x:c r="P132" s="18" t="n">
        <x:f>MAX(0,G132-8)</x:f>
        <x:v>0</x:v>
      </x:c>
      <x:c r="Q132" s="18" t="n">
        <x:f>ROUND(MIN(100,MAX(0,(O132/6.5)*100-N132*3+P132*4)),1)</x:f>
        <x:v>84.6</x:v>
      </x:c>
      <x:c r="R132" s="17" t="str">
        <x:f>IF(Q132&gt;=85,"High",IF(Q132&gt;=65,"Medium","Low"))</x:f>
        <x:v>Medium</x:v>
      </x:c>
      <x:c r="S132" s="17" t="str">
        <x:f>IF(L132&gt;=8,"Leave",IF(L132&gt;0,"Half Day",IF(M132&gt;0,"Permission",IF(P132&gt;0,"Overtime","Regular"))))</x:f>
        <x:v>Regular</x:v>
      </x:c>
    </x:row>
    <x:row r="133">
      <x:c r="A133" s="16" t="n">
        <x:v>46154</x:v>
      </x:c>
      <x:c r="B133" s="17" t="str">
        <x:v>Tuesday</x:v>
      </x:c>
      <x:c r="C133" s="17" t="str">
        <x:v>EMP004</x:v>
      </x:c>
      <x:c r="D133" s="17" t="str">
        <x:v>Meera</x:v>
      </x:c>
      <x:c r="E133" s="17" t="str">
        <x:v>Workload Balancing Dashboard</x:v>
      </x:c>
      <x:c r="F133" s="17" t="str">
        <x:v>Deployment</x:v>
      </x:c>
      <x:c r="G133" s="18" t="n">
        <x:v>7</x:v>
      </x:c>
      <x:c r="H133" s="18" t="n">
        <x:v>7</x:v>
      </x:c>
      <x:c r="I133" s="18" t="n">
        <x:v>1</x:v>
      </x:c>
      <x:c r="J133" s="18" t="n">
        <x:v>0.5</x:v>
      </x:c>
      <x:c r="K133" s="18" t="n">
        <x:f>I133+J133</x:f>
        <x:v>1.5</x:v>
      </x:c>
      <x:c r="L133" s="18" t="n">
        <x:v>0</x:v>
      </x:c>
      <x:c r="M133" s="18" t="n">
        <x:v>0</x:v>
      </x:c>
      <x:c r="N133" s="18" t="n">
        <x:f>L133+M133</x:f>
        <x:v>0</x:v>
      </x:c>
      <x:c r="O133" s="18" t="n">
        <x:f>MAX(0,G133-I133-J133)</x:f>
        <x:v>5.5</x:v>
      </x:c>
      <x:c r="P133" s="18" t="n">
        <x:f>MAX(0,G133-8)</x:f>
        <x:v>0</x:v>
      </x:c>
      <x:c r="Q133" s="18" t="n">
        <x:f>ROUND(MIN(100,MAX(0,(O133/6.5)*100-N133*3+P133*4)),1)</x:f>
        <x:v>84.6</x:v>
      </x:c>
      <x:c r="R133" s="17" t="str">
        <x:f>IF(Q133&gt;=85,"High",IF(Q133&gt;=65,"Medium","Low"))</x:f>
        <x:v>Medium</x:v>
      </x:c>
      <x:c r="S133" s="17" t="str">
        <x:f>IF(L133&gt;=8,"Leave",IF(L133&gt;0,"Half Day",IF(M133&gt;0,"Permission",IF(P133&gt;0,"Overtime","Regular"))))</x:f>
        <x:v>Regular</x:v>
      </x:c>
    </x:row>
    <x:row r="134">
      <x:c r="A134" s="16" t="n">
        <x:v>46155</x:v>
      </x:c>
      <x:c r="B134" s="17" t="str">
        <x:v>Wednesday</x:v>
      </x:c>
      <x:c r="C134" s="17" t="str">
        <x:v>EMP005</x:v>
      </x:c>
      <x:c r="D134" s="17" t="str">
        <x:v>Rahul</x:v>
      </x:c>
      <x:c r="E134" s="17" t="str">
        <x:v>Task Time Prediction Model</x:v>
      </x:c>
      <x:c r="F134" s="17" t="str">
        <x:v>Client Review</x:v>
      </x:c>
      <x:c r="G134" s="18" t="n">
        <x:v>7.5</x:v>
      </x:c>
      <x:c r="H134" s="18" t="n">
        <x:v>7.5</x:v>
      </x:c>
      <x:c r="I134" s="18" t="n">
        <x:v>1</x:v>
      </x:c>
      <x:c r="J134" s="18" t="n">
        <x:v>0.5</x:v>
      </x:c>
      <x:c r="K134" s="18" t="n">
        <x:f>I134+J134</x:f>
        <x:v>1.5</x:v>
      </x:c>
      <x:c r="L134" s="18" t="n">
        <x:v>0</x:v>
      </x:c>
      <x:c r="M134" s="18" t="n">
        <x:v>0</x:v>
      </x:c>
      <x:c r="N134" s="18" t="n">
        <x:f>L134+M134</x:f>
        <x:v>0</x:v>
      </x:c>
      <x:c r="O134" s="18" t="n">
        <x:f>MAX(0,G134-I134-J134)</x:f>
        <x:v>6</x:v>
      </x:c>
      <x:c r="P134" s="18" t="n">
        <x:f>MAX(0,G134-8)</x:f>
        <x:v>0</x:v>
      </x:c>
      <x:c r="Q134" s="18" t="n">
        <x:f>ROUND(MIN(100,MAX(0,(O134/6.5)*100-N134*3+P134*4)),1)</x:f>
        <x:v>92.3</x:v>
      </x:c>
      <x:c r="R134" s="17" t="str">
        <x:f>IF(Q134&gt;=85,"High",IF(Q134&gt;=65,"Medium","Low"))</x:f>
        <x:v>High</x:v>
      </x:c>
      <x:c r="S134" s="17" t="str">
        <x:f>IF(L134&gt;=8,"Leave",IF(L134&gt;0,"Half Day",IF(M134&gt;0,"Permission",IF(P134&gt;0,"Overtime","Regular"))))</x:f>
        <x:v>Regular</x:v>
      </x:c>
    </x:row>
    <x:row r="135">
      <x:c r="A135" s="16" t="n">
        <x:v>46156</x:v>
      </x:c>
      <x:c r="B135" s="17" t="str">
        <x:v>Thursday</x:v>
      </x:c>
      <x:c r="C135" s="17" t="str">
        <x:v>EMP006</x:v>
      </x:c>
      <x:c r="D135" s="17" t="str">
        <x:v>Swathi</x:v>
      </x:c>
      <x:c r="E135" s="17" t="str">
        <x:v>Workload Balancing Dashboard</x:v>
      </x:c>
      <x:c r="F135" s="17" t="str">
        <x:v>Model Testing</x:v>
      </x:c>
      <x:c r="G135" s="18" t="n">
        <x:v>6</x:v>
      </x:c>
      <x:c r="H135" s="18" t="n">
        <x:v>6</x:v>
      </x:c>
      <x:c r="I135" s="18" t="n">
        <x:v>1</x:v>
      </x:c>
      <x:c r="J135" s="18" t="n">
        <x:v>0.5</x:v>
      </x:c>
      <x:c r="K135" s="18" t="n">
        <x:f>I135+J135</x:f>
        <x:v>1.5</x:v>
      </x:c>
      <x:c r="L135" s="18" t="n">
        <x:v>0</x:v>
      </x:c>
      <x:c r="M135" s="18" t="n">
        <x:v>0</x:v>
      </x:c>
      <x:c r="N135" s="18" t="n">
        <x:f>L135+M135</x:f>
        <x:v>0</x:v>
      </x:c>
      <x:c r="O135" s="18" t="n">
        <x:f>MAX(0,G135-I135-J135)</x:f>
        <x:v>4.5</x:v>
      </x:c>
      <x:c r="P135" s="18" t="n">
        <x:f>MAX(0,G135-8)</x:f>
        <x:v>0</x:v>
      </x:c>
      <x:c r="Q135" s="18" t="n">
        <x:f>ROUND(MIN(100,MAX(0,(O135/6.5)*100-N135*3+P135*4)),1)</x:f>
        <x:v>69.2</x:v>
      </x:c>
      <x:c r="R135" s="17" t="str">
        <x:f>IF(Q135&gt;=85,"High",IF(Q135&gt;=65,"Medium","Low"))</x:f>
        <x:v>Medium</x:v>
      </x:c>
      <x:c r="S135" s="17" t="str">
        <x:f>IF(L135&gt;=8,"Leave",IF(L135&gt;0,"Half Day",IF(M135&gt;0,"Permission",IF(P135&gt;0,"Overtime","Regular"))))</x:f>
        <x:v>Regular</x:v>
      </x:c>
    </x:row>
    <x:row r="136">
      <x:c r="A136" s="16" t="n">
        <x:v>46157</x:v>
      </x:c>
      <x:c r="B136" s="17" t="str">
        <x:v>Friday</x:v>
      </x:c>
      <x:c r="C136" s="17" t="str">
        <x:v>EMP007</x:v>
      </x:c>
      <x:c r="D136" s="17" t="str">
        <x:v>Nisha</x:v>
      </x:c>
      <x:c r="E136" s="17" t="str">
        <x:v>Task Time Prediction Model</x:v>
      </x:c>
      <x:c r="F136" s="17" t="str">
        <x:v>Data Cleaning</x:v>
      </x:c>
      <x:c r="G136" s="18" t="n">
        <x:v>8.5</x:v>
      </x:c>
      <x:c r="H136" s="18" t="n">
        <x:v>8</x:v>
      </x:c>
      <x:c r="I136" s="18" t="n">
        <x:v>1</x:v>
      </x:c>
      <x:c r="J136" s="18" t="n">
        <x:v>0.5</x:v>
      </x:c>
      <x:c r="K136" s="18" t="n">
        <x:f>I136+J136</x:f>
        <x:v>1.5</x:v>
      </x:c>
      <x:c r="L136" s="18" t="n">
        <x:v>0</x:v>
      </x:c>
      <x:c r="M136" s="18" t="n">
        <x:v>0</x:v>
      </x:c>
      <x:c r="N136" s="18" t="n">
        <x:f>L136+M136</x:f>
        <x:v>0</x:v>
      </x:c>
      <x:c r="O136" s="18" t="n">
        <x:f>MAX(0,G136-I136-J136)</x:f>
        <x:v>7</x:v>
      </x:c>
      <x:c r="P136" s="18" t="n">
        <x:f>MAX(0,G136-8)</x:f>
        <x:v>0.5</x:v>
      </x:c>
      <x:c r="Q136" s="18" t="n">
        <x:f>ROUND(MIN(100,MAX(0,(O136/6.5)*100-N136*3+P136*4)),1)</x:f>
        <x:v>100</x:v>
      </x:c>
      <x:c r="R136" s="17" t="str">
        <x:f>IF(Q136&gt;=85,"High",IF(Q136&gt;=65,"Medium","Low"))</x:f>
        <x:v>High</x:v>
      </x:c>
      <x:c r="S136" s="17" t="str">
        <x:f>IF(L136&gt;=8,"Leave",IF(L136&gt;0,"Half Day",IF(M136&gt;0,"Permission",IF(P136&gt;0,"Overtime","Regular"))))</x:f>
        <x:v>Overtime</x:v>
      </x:c>
    </x:row>
    <x:row r="137">
      <x:c r="A137" s="16" t="n">
        <x:v>46158</x:v>
      </x:c>
      <x:c r="B137" s="17" t="str">
        <x:v>Saturday</x:v>
      </x:c>
      <x:c r="C137" s="17" t="str">
        <x:v>EMP008</x:v>
      </x:c>
      <x:c r="D137" s="17" t="str">
        <x:v>Vikram</x:v>
      </x:c>
      <x:c r="E137" s="17" t="str">
        <x:v>AI Employee Productivity Tracker</x:v>
      </x:c>
      <x:c r="F137" s="17" t="str">
        <x:v>Bug Fixing</x:v>
      </x:c>
      <x:c r="G137" s="18" t="n">
        <x:v>0</x:v>
      </x:c>
      <x:c r="H137" s="18" t="n">
        <x:v>0</x:v>
      </x:c>
      <x:c r="I137" s="18" t="n">
        <x:v>0</x:v>
      </x:c>
      <x:c r="J137" s="18" t="n">
        <x:v>0</x:v>
      </x:c>
      <x:c r="K137" s="18" t="n">
        <x:f>I137+J137</x:f>
        <x:v>0</x:v>
      </x:c>
      <x:c r="L137" s="18" t="n">
        <x:v>0</x:v>
      </x:c>
      <x:c r="M137" s="18" t="n">
        <x:v>0</x:v>
      </x:c>
      <x:c r="N137" s="18" t="n">
        <x:f>L137+M137</x:f>
        <x:v>0</x:v>
      </x:c>
      <x:c r="O137" s="18" t="n">
        <x:f>MAX(0,G137-I137-J137)</x:f>
        <x:v>0</x:v>
      </x:c>
      <x:c r="P137" s="18" t="n">
        <x:f>MAX(0,G137-8)</x:f>
        <x:v>0</x:v>
      </x:c>
      <x:c r="Q137" s="18" t="n">
        <x:f>ROUND(MIN(100,MAX(0,(O137/6.5)*100-N137*3+P137*4)),1)</x:f>
        <x:v>0</x:v>
      </x:c>
      <x:c r="R137" s="17" t="str">
        <x:f>IF(Q137&gt;=85,"High",IF(Q137&gt;=65,"Medium","Low"))</x:f>
        <x:v>Low</x:v>
      </x:c>
      <x:c r="S137" s="17" t="str">
        <x:f>IF(L137&gt;=8,"Leave",IF(L137&gt;0,"Half Day",IF(M137&gt;0,"Permission",IF(P137&gt;0,"Overtime","Regular"))))</x:f>
        <x:v>Regular</x:v>
      </x:c>
    </x:row>
    <x:row r="138">
      <x:c r="A138" s="16" t="n">
        <x:v>46159</x:v>
      </x:c>
      <x:c r="B138" s="17" t="str">
        <x:v>Sunday</x:v>
      </x:c>
      <x:c r="C138" s="17" t="str">
        <x:v>EMP001</x:v>
      </x:c>
      <x:c r="D138" s="17" t="str">
        <x:v>Aarav</x:v>
      </x:c>
      <x:c r="E138" s="17" t="str">
        <x:v>Project Cost Estimator</x:v>
      </x:c>
      <x:c r="F138" s="17" t="str">
        <x:v>Documentation</x:v>
      </x:c>
      <x:c r="G138" s="18" t="n">
        <x:v>0</x:v>
      </x:c>
      <x:c r="H138" s="18" t="n">
        <x:v>0</x:v>
      </x:c>
      <x:c r="I138" s="18" t="n">
        <x:v>0</x:v>
      </x:c>
      <x:c r="J138" s="18" t="n">
        <x:v>0</x:v>
      </x:c>
      <x:c r="K138" s="18" t="n">
        <x:f>I138+J138</x:f>
        <x:v>0</x:v>
      </x:c>
      <x:c r="L138" s="18" t="n">
        <x:v>0</x:v>
      </x:c>
      <x:c r="M138" s="18" t="n">
        <x:v>0</x:v>
      </x:c>
      <x:c r="N138" s="18" t="n">
        <x:f>L138+M138</x:f>
        <x:v>0</x:v>
      </x:c>
      <x:c r="O138" s="18" t="n">
        <x:f>MAX(0,G138-I138-J138)</x:f>
        <x:v>0</x:v>
      </x:c>
      <x:c r="P138" s="18" t="n">
        <x:f>MAX(0,G138-8)</x:f>
        <x:v>0</x:v>
      </x:c>
      <x:c r="Q138" s="18" t="n">
        <x:f>ROUND(MIN(100,MAX(0,(O138/6.5)*100-N138*3+P138*4)),1)</x:f>
        <x:v>0</x:v>
      </x:c>
      <x:c r="R138" s="17" t="str">
        <x:f>IF(Q138&gt;=85,"High",IF(Q138&gt;=65,"Medium","Low"))</x:f>
        <x:v>Low</x:v>
      </x:c>
      <x:c r="S138" s="17" t="str">
        <x:f>IF(L138&gt;=8,"Leave",IF(L138&gt;0,"Half Day",IF(M138&gt;0,"Permission",IF(P138&gt;0,"Overtime","Regular"))))</x:f>
        <x:v>Regular</x:v>
      </x:c>
    </x:row>
    <x:row r="139">
      <x:c r="A139" s="16" t="n">
        <x:v>46160</x:v>
      </x:c>
      <x:c r="B139" s="17" t="str">
        <x:v>Monday</x:v>
      </x:c>
      <x:c r="C139" s="17" t="str">
        <x:v>EMP002</x:v>
      </x:c>
      <x:c r="D139" s="17" t="str">
        <x:v>Diya</x:v>
      </x:c>
      <x:c r="E139" s="17" t="str">
        <x:v>AI Employee Productivity Tracker</x:v>
      </x:c>
      <x:c r="F139" s="17" t="str">
        <x:v>Model Training</x:v>
      </x:c>
      <x:c r="G139" s="18" t="n">
        <x:v>8.5</x:v>
      </x:c>
      <x:c r="H139" s="18" t="n">
        <x:v>8</x:v>
      </x:c>
      <x:c r="I139" s="18" t="n">
        <x:v>1</x:v>
      </x:c>
      <x:c r="J139" s="18" t="n">
        <x:v>0.5</x:v>
      </x:c>
      <x:c r="K139" s="18" t="n">
        <x:f>I139+J139</x:f>
        <x:v>1.5</x:v>
      </x:c>
      <x:c r="L139" s="18" t="n">
        <x:v>0</x:v>
      </x:c>
      <x:c r="M139" s="18" t="n">
        <x:v>0</x:v>
      </x:c>
      <x:c r="N139" s="18" t="n">
        <x:f>L139+M139</x:f>
        <x:v>0</x:v>
      </x:c>
      <x:c r="O139" s="18" t="n">
        <x:f>MAX(0,G139-I139-J139)</x:f>
        <x:v>7</x:v>
      </x:c>
      <x:c r="P139" s="18" t="n">
        <x:f>MAX(0,G139-8)</x:f>
        <x:v>0.5</x:v>
      </x:c>
      <x:c r="Q139" s="18" t="n">
        <x:f>ROUND(MIN(100,MAX(0,(O139/6.5)*100-N139*3+P139*4)),1)</x:f>
        <x:v>100</x:v>
      </x:c>
      <x:c r="R139" s="17" t="str">
        <x:f>IF(Q139&gt;=85,"High",IF(Q139&gt;=65,"Medium","Low"))</x:f>
        <x:v>High</x:v>
      </x:c>
      <x:c r="S139" s="17" t="str">
        <x:f>IF(L139&gt;=8,"Leave",IF(L139&gt;0,"Half Day",IF(M139&gt;0,"Permission",IF(P139&gt;0,"Overtime","Regular"))))</x:f>
        <x:v>Overtime</x:v>
      </x:c>
    </x:row>
    <x:row r="140">
      <x:c r="A140" s="16" t="n">
        <x:v>46161</x:v>
      </x:c>
      <x:c r="B140" s="17" t="str">
        <x:v>Tuesday</x:v>
      </x:c>
      <x:c r="C140" s="17" t="str">
        <x:v>EMP003</x:v>
      </x:c>
      <x:c r="D140" s="17" t="str">
        <x:v>Kavin</x:v>
      </x:c>
      <x:c r="E140" s="17" t="str">
        <x:v>Project Cost Estimator</x:v>
      </x:c>
      <x:c r="F140" s="17" t="str">
        <x:v>Data Collection</x:v>
      </x:c>
      <x:c r="G140" s="18" t="n">
        <x:v>6</x:v>
      </x:c>
      <x:c r="H140" s="18" t="n">
        <x:v>6</x:v>
      </x:c>
      <x:c r="I140" s="18" t="n">
        <x:v>1</x:v>
      </x:c>
      <x:c r="J140" s="18" t="n">
        <x:v>0.5</x:v>
      </x:c>
      <x:c r="K140" s="18" t="n">
        <x:f>I140+J140</x:f>
        <x:v>1.5</x:v>
      </x:c>
      <x:c r="L140" s="18" t="n">
        <x:v>0</x:v>
      </x:c>
      <x:c r="M140" s="18" t="n">
        <x:v>0</x:v>
      </x:c>
      <x:c r="N140" s="18" t="n">
        <x:f>L140+M140</x:f>
        <x:v>0</x:v>
      </x:c>
      <x:c r="O140" s="18" t="n">
        <x:f>MAX(0,G140-I140-J140)</x:f>
        <x:v>4.5</x:v>
      </x:c>
      <x:c r="P140" s="18" t="n">
        <x:f>MAX(0,G140-8)</x:f>
        <x:v>0</x:v>
      </x:c>
      <x:c r="Q140" s="18" t="n">
        <x:f>ROUND(MIN(100,MAX(0,(O140/6.5)*100-N140*3+P140*4)),1)</x:f>
        <x:v>69.2</x:v>
      </x:c>
      <x:c r="R140" s="17" t="str">
        <x:f>IF(Q140&gt;=85,"High",IF(Q140&gt;=65,"Medium","Low"))</x:f>
        <x:v>Medium</x:v>
      </x:c>
      <x:c r="S140" s="17" t="str">
        <x:f>IF(L140&gt;=8,"Leave",IF(L140&gt;0,"Half Day",IF(M140&gt;0,"Permission",IF(P140&gt;0,"Overtime","Regular"))))</x:f>
        <x:v>Regular</x:v>
      </x:c>
    </x:row>
    <x:row r="141">
      <x:c r="A141" s="16" t="n">
        <x:v>46162</x:v>
      </x:c>
      <x:c r="B141" s="17" t="str">
        <x:v>Wednesday</x:v>
      </x:c>
      <x:c r="C141" s="17" t="str">
        <x:v>EMP004</x:v>
      </x:c>
      <x:c r="D141" s="17" t="str">
        <x:v>Meera</x:v>
      </x:c>
      <x:c r="E141" s="17" t="str">
        <x:v>AI Employee Productivity Tracker</x:v>
      </x:c>
      <x:c r="F141" s="17" t="str">
        <x:v>Client Review</x:v>
      </x:c>
      <x:c r="G141" s="18" t="n">
        <x:v>7</x:v>
      </x:c>
      <x:c r="H141" s="18" t="n">
        <x:v>7</x:v>
      </x:c>
      <x:c r="I141" s="18" t="n">
        <x:v>1</x:v>
      </x:c>
      <x:c r="J141" s="18" t="n">
        <x:v>0.5</x:v>
      </x:c>
      <x:c r="K141" s="18" t="n">
        <x:f>I141+J141</x:f>
        <x:v>1.5</x:v>
      </x:c>
      <x:c r="L141" s="18" t="n">
        <x:v>0</x:v>
      </x:c>
      <x:c r="M141" s="18" t="n">
        <x:v>0</x:v>
      </x:c>
      <x:c r="N141" s="18" t="n">
        <x:f>L141+M141</x:f>
        <x:v>0</x:v>
      </x:c>
      <x:c r="O141" s="18" t="n">
        <x:f>MAX(0,G141-I141-J141)</x:f>
        <x:v>5.5</x:v>
      </x:c>
      <x:c r="P141" s="18" t="n">
        <x:f>MAX(0,G141-8)</x:f>
        <x:v>0</x:v>
      </x:c>
      <x:c r="Q141" s="18" t="n">
        <x:f>ROUND(MIN(100,MAX(0,(O141/6.5)*100-N141*3+P141*4)),1)</x:f>
        <x:v>84.6</x:v>
      </x:c>
      <x:c r="R141" s="17" t="str">
        <x:f>IF(Q141&gt;=85,"High",IF(Q141&gt;=65,"Medium","Low"))</x:f>
        <x:v>Medium</x:v>
      </x:c>
      <x:c r="S141" s="17" t="str">
        <x:f>IF(L141&gt;=8,"Leave",IF(L141&gt;0,"Half Day",IF(M141&gt;0,"Permission",IF(P141&gt;0,"Overtime","Regular"))))</x:f>
        <x:v>Regular</x:v>
      </x:c>
    </x:row>
    <x:row r="142">
      <x:c r="A142" s="16" t="n">
        <x:v>46143</x:v>
      </x:c>
      <x:c r="B142" s="17" t="str">
        <x:v>Friday</x:v>
      </x:c>
      <x:c r="C142" s="17" t="str">
        <x:v>EMP005</x:v>
      </x:c>
      <x:c r="D142" s="17" t="str">
        <x:v>Rahul</x:v>
      </x:c>
      <x:c r="E142" s="17" t="str">
        <x:v>Leave Pattern Analysis</x:v>
      </x:c>
      <x:c r="F142" s="17" t="str">
        <x:v>Dashboard Design</x:v>
      </x:c>
      <x:c r="G142" s="18" t="n">
        <x:v>5</x:v>
      </x:c>
      <x:c r="H142" s="18" t="n">
        <x:v>5</x:v>
      </x:c>
      <x:c r="I142" s="18" t="n">
        <x:v>1</x:v>
      </x:c>
      <x:c r="J142" s="18" t="n">
        <x:v>0.25</x:v>
      </x:c>
      <x:c r="K142" s="18" t="n">
        <x:f>I142+J142</x:f>
        <x:v>1.25</x:v>
      </x:c>
      <x:c r="L142" s="18" t="n">
        <x:v>0</x:v>
      </x:c>
      <x:c r="M142" s="18" t="n">
        <x:v>2</x:v>
      </x:c>
      <x:c r="N142" s="18" t="n">
        <x:f>L142+M142</x:f>
        <x:v>2</x:v>
      </x:c>
      <x:c r="O142" s="18" t="n">
        <x:f>MAX(0,G142-I142-J142)</x:f>
        <x:v>3.75</x:v>
      </x:c>
      <x:c r="P142" s="18" t="n">
        <x:f>MAX(0,G142-8)</x:f>
        <x:v>0</x:v>
      </x:c>
      <x:c r="Q142" s="18" t="n">
        <x:f>ROUND(MIN(100,MAX(0,(O142/6.5)*100-N142*3+P142*4)),1)</x:f>
        <x:v>51.7</x:v>
      </x:c>
      <x:c r="R142" s="17" t="str">
        <x:f>IF(Q142&gt;=85,"High",IF(Q142&gt;=65,"Medium","Low"))</x:f>
        <x:v>Low</x:v>
      </x:c>
      <x:c r="S142" s="17" t="str">
        <x:f>IF(L142&gt;=8,"Leave",IF(L142&gt;0,"Half Day",IF(M142&gt;0,"Permission",IF(P142&gt;0,"Overtime","Regular"))))</x:f>
        <x:v>Permission</x:v>
      </x:c>
    </x:row>
    <x:row r="143">
      <x:c r="A143" s="16" t="n">
        <x:v>46144</x:v>
      </x:c>
      <x:c r="B143" s="17" t="str">
        <x:v>Saturday</x:v>
      </x:c>
      <x:c r="C143" s="17" t="str">
        <x:v>EMP006</x:v>
      </x:c>
      <x:c r="D143" s="17" t="str">
        <x:v>Swathi</x:v>
      </x:c>
      <x:c r="E143" s="17" t="str">
        <x:v>Smart Attendance Analytics</x:v>
      </x:c>
      <x:c r="F143" s="17" t="str">
        <x:v>Feature Engineering</x:v>
      </x:c>
      <x:c r="G143" s="18" t="n">
        <x:v>0</x:v>
      </x:c>
      <x:c r="H143" s="18" t="n">
        <x:v>0</x:v>
      </x:c>
      <x:c r="I143" s="18" t="n">
        <x:v>0</x:v>
      </x:c>
      <x:c r="J143" s="18" t="n">
        <x:v>0</x:v>
      </x:c>
      <x:c r="K143" s="18" t="n">
        <x:f>I143+J143</x:f>
        <x:v>0</x:v>
      </x:c>
      <x:c r="L143" s="18" t="n">
        <x:v>0</x:v>
      </x:c>
      <x:c r="M143" s="18" t="n">
        <x:v>0</x:v>
      </x:c>
      <x:c r="N143" s="18" t="n">
        <x:f>L143+M143</x:f>
        <x:v>0</x:v>
      </x:c>
      <x:c r="O143" s="18" t="n">
        <x:f>MAX(0,G143-I143-J143)</x:f>
        <x:v>0</x:v>
      </x:c>
      <x:c r="P143" s="18" t="n">
        <x:f>MAX(0,G143-8)</x:f>
        <x:v>0</x:v>
      </x:c>
      <x:c r="Q143" s="18" t="n">
        <x:f>ROUND(MIN(100,MAX(0,(O143/6.5)*100-N143*3+P143*4)),1)</x:f>
        <x:v>0</x:v>
      </x:c>
      <x:c r="R143" s="17" t="str">
        <x:f>IF(Q143&gt;=85,"High",IF(Q143&gt;=65,"Medium","Low"))</x:f>
        <x:v>Low</x:v>
      </x:c>
      <x:c r="S143" s="17" t="str">
        <x:f>IF(L143&gt;=8,"Leave",IF(L143&gt;0,"Half Day",IF(M143&gt;0,"Permission",IF(P143&gt;0,"Overtime","Regular"))))</x:f>
        <x:v>Regular</x:v>
      </x:c>
    </x:row>
    <x:row r="144">
      <x:c r="A144" s="16" t="n">
        <x:v>46145</x:v>
      </x:c>
      <x:c r="B144" s="17" t="str">
        <x:v>Sunday</x:v>
      </x:c>
      <x:c r="C144" s="17" t="str">
        <x:v>EMP007</x:v>
      </x:c>
      <x:c r="D144" s="17" t="str">
        <x:v>Nisha</x:v>
      </x:c>
      <x:c r="E144" s="17" t="str">
        <x:v>Leave Pattern Analysis</x:v>
      </x:c>
      <x:c r="F144" s="17" t="str">
        <x:v>Deployment</x:v>
      </x:c>
      <x:c r="G144" s="18" t="n">
        <x:v>3</x:v>
      </x:c>
      <x:c r="H144" s="18" t="n">
        <x:v>3</x:v>
      </x:c>
      <x:c r="I144" s="18" t="n">
        <x:v>0.5</x:v>
      </x:c>
      <x:c r="J144" s="18" t="n">
        <x:v>0.25</x:v>
      </x:c>
      <x:c r="K144" s="18" t="n">
        <x:f>I144+J144</x:f>
        <x:v>0.75</x:v>
      </x:c>
      <x:c r="L144" s="18" t="n">
        <x:v>0</x:v>
      </x:c>
      <x:c r="M144" s="18" t="n">
        <x:v>0</x:v>
      </x:c>
      <x:c r="N144" s="18" t="n">
        <x:f>L144+M144</x:f>
        <x:v>0</x:v>
      </x:c>
      <x:c r="O144" s="18" t="n">
        <x:f>MAX(0,G144-I144-J144)</x:f>
        <x:v>2.25</x:v>
      </x:c>
      <x:c r="P144" s="18" t="n">
        <x:f>MAX(0,G144-8)</x:f>
        <x:v>0</x:v>
      </x:c>
      <x:c r="Q144" s="18" t="n">
        <x:f>ROUND(MIN(100,MAX(0,(O144/6.5)*100-N144*3+P144*4)),1)</x:f>
        <x:v>34.6</x:v>
      </x:c>
      <x:c r="R144" s="17" t="str">
        <x:f>IF(Q144&gt;=85,"High",IF(Q144&gt;=65,"Medium","Low"))</x:f>
        <x:v>Low</x:v>
      </x:c>
      <x:c r="S144" s="17" t="str">
        <x:f>IF(L144&gt;=8,"Leave",IF(L144&gt;0,"Half Day",IF(M144&gt;0,"Permission",IF(P144&gt;0,"Overtime","Regular"))))</x:f>
        <x:v>Regular</x:v>
      </x:c>
    </x:row>
    <x:row r="145">
      <x:c r="A145" s="16" t="n">
        <x:v>46146</x:v>
      </x:c>
      <x:c r="B145" s="17" t="str">
        <x:v>Monday</x:v>
      </x:c>
      <x:c r="C145" s="17" t="str">
        <x:v>EMP008</x:v>
      </x:c>
      <x:c r="D145" s="17" t="str">
        <x:v>Vikram</x:v>
      </x:c>
      <x:c r="E145" s="17" t="str">
        <x:v>Smart Attendance Analytics</x:v>
      </x:c>
      <x:c r="F145" s="17" t="str">
        <x:v>Documentation</x:v>
      </x:c>
      <x:c r="G145" s="18" t="n">
        <x:v>7</x:v>
      </x:c>
      <x:c r="H145" s="18" t="n">
        <x:v>7</x:v>
      </x:c>
      <x:c r="I145" s="18" t="n">
        <x:v>1</x:v>
      </x:c>
      <x:c r="J145" s="18" t="n">
        <x:v>0.5</x:v>
      </x:c>
      <x:c r="K145" s="18" t="n">
        <x:f>I145+J145</x:f>
        <x:v>1.5</x:v>
      </x:c>
      <x:c r="L145" s="18" t="n">
        <x:v>0</x:v>
      </x:c>
      <x:c r="M145" s="18" t="n">
        <x:v>0</x:v>
      </x:c>
      <x:c r="N145" s="18" t="n">
        <x:f>L145+M145</x:f>
        <x:v>0</x:v>
      </x:c>
      <x:c r="O145" s="18" t="n">
        <x:f>MAX(0,G145-I145-J145)</x:f>
        <x:v>5.5</x:v>
      </x:c>
      <x:c r="P145" s="18" t="n">
        <x:f>MAX(0,G145-8)</x:f>
        <x:v>0</x:v>
      </x:c>
      <x:c r="Q145" s="18" t="n">
        <x:f>ROUND(MIN(100,MAX(0,(O145/6.5)*100-N145*3+P145*4)),1)</x:f>
        <x:v>84.6</x:v>
      </x:c>
      <x:c r="R145" s="17" t="str">
        <x:f>IF(Q145&gt;=85,"High",IF(Q145&gt;=65,"Medium","Low"))</x:f>
        <x:v>Medium</x:v>
      </x:c>
      <x:c r="S145" s="17" t="str">
        <x:f>IF(L145&gt;=8,"Leave",IF(L145&gt;0,"Half Day",IF(M145&gt;0,"Permission",IF(P145&gt;0,"Overtime","Regular"))))</x:f>
        <x:v>Regular</x:v>
      </x:c>
    </x:row>
    <x:row r="146">
      <x:c r="A146" s="16" t="n">
        <x:v>46147</x:v>
      </x:c>
      <x:c r="B146" s="17" t="str">
        <x:v>Tuesday</x:v>
      </x:c>
      <x:c r="C146" s="17" t="str">
        <x:v>EMP001</x:v>
      </x:c>
      <x:c r="D146" s="17" t="str">
        <x:v>Aarav</x:v>
      </x:c>
      <x:c r="E146" s="17" t="str">
        <x:v>Leave Pattern Analysis</x:v>
      </x:c>
      <x:c r="F146" s="17" t="str">
        <x:v>Model Testing</x:v>
      </x:c>
      <x:c r="G146" s="18" t="n">
        <x:v>8</x:v>
      </x:c>
      <x:c r="H146" s="18" t="n">
        <x:v>8</x:v>
      </x:c>
      <x:c r="I146" s="18" t="n">
        <x:v>1</x:v>
      </x:c>
      <x:c r="J146" s="18" t="n">
        <x:v>0.5</x:v>
      </x:c>
      <x:c r="K146" s="18" t="n">
        <x:f>I146+J146</x:f>
        <x:v>1.5</x:v>
      </x:c>
      <x:c r="L146" s="18" t="n">
        <x:v>0</x:v>
      </x:c>
      <x:c r="M146" s="18" t="n">
        <x:v>0</x:v>
      </x:c>
      <x:c r="N146" s="18" t="n">
        <x:f>L146+M146</x:f>
        <x:v>0</x:v>
      </x:c>
      <x:c r="O146" s="18" t="n">
        <x:f>MAX(0,G146-I146-J146)</x:f>
        <x:v>6.5</x:v>
      </x:c>
      <x:c r="P146" s="18" t="n">
        <x:f>MAX(0,G146-8)</x:f>
        <x:v>0</x:v>
      </x:c>
      <x:c r="Q146" s="18" t="n">
        <x:f>ROUND(MIN(100,MAX(0,(O146/6.5)*100-N146*3+P146*4)),1)</x:f>
        <x:v>100</x:v>
      </x:c>
      <x:c r="R146" s="17" t="str">
        <x:f>IF(Q146&gt;=85,"High",IF(Q146&gt;=65,"Medium","Low"))</x:f>
        <x:v>High</x:v>
      </x:c>
      <x:c r="S146" s="17" t="str">
        <x:f>IF(L146&gt;=8,"Leave",IF(L146&gt;0,"Half Day",IF(M146&gt;0,"Permission",IF(P146&gt;0,"Overtime","Regular"))))</x:f>
        <x:v>Regular</x:v>
      </x:c>
    </x:row>
    <x:row r="147">
      <x:c r="A147" s="16" t="n">
        <x:v>46148</x:v>
      </x:c>
      <x:c r="B147" s="17" t="str">
        <x:v>Wednesday</x:v>
      </x:c>
      <x:c r="C147" s="17" t="str">
        <x:v>EMP002</x:v>
      </x:c>
      <x:c r="D147" s="17" t="str">
        <x:v>Diya</x:v>
      </x:c>
      <x:c r="E147" s="17" t="str">
        <x:v>Task Time Prediction Model</x:v>
      </x:c>
      <x:c r="F147" s="17" t="str">
        <x:v>Data Cleaning</x:v>
      </x:c>
      <x:c r="G147" s="18" t="n">
        <x:v>8</x:v>
      </x:c>
      <x:c r="H147" s="18" t="n">
        <x:v>8</x:v>
      </x:c>
      <x:c r="I147" s="18" t="n">
        <x:v>1</x:v>
      </x:c>
      <x:c r="J147" s="18" t="n">
        <x:v>0.5</x:v>
      </x:c>
      <x:c r="K147" s="18" t="n">
        <x:f>I147+J147</x:f>
        <x:v>1.5</x:v>
      </x:c>
      <x:c r="L147" s="18" t="n">
        <x:v>0</x:v>
      </x:c>
      <x:c r="M147" s="18" t="n">
        <x:v>0</x:v>
      </x:c>
      <x:c r="N147" s="18" t="n">
        <x:f>L147+M147</x:f>
        <x:v>0</x:v>
      </x:c>
      <x:c r="O147" s="18" t="n">
        <x:f>MAX(0,G147-I147-J147)</x:f>
        <x:v>6.5</x:v>
      </x:c>
      <x:c r="P147" s="18" t="n">
        <x:f>MAX(0,G147-8)</x:f>
        <x:v>0</x:v>
      </x:c>
      <x:c r="Q147" s="18" t="n">
        <x:f>ROUND(MIN(100,MAX(0,(O147/6.5)*100-N147*3+P147*4)),1)</x:f>
        <x:v>100</x:v>
      </x:c>
      <x:c r="R147" s="17" t="str">
        <x:f>IF(Q147&gt;=85,"High",IF(Q147&gt;=65,"Medium","Low"))</x:f>
        <x:v>High</x:v>
      </x:c>
      <x:c r="S147" s="17" t="str">
        <x:f>IF(L147&gt;=8,"Leave",IF(L147&gt;0,"Half Day",IF(M147&gt;0,"Permission",IF(P147&gt;0,"Overtime","Regular"))))</x:f>
        <x:v>Regular</x:v>
      </x:c>
    </x:row>
    <x:row r="148">
      <x:c r="A148" s="16" t="n">
        <x:v>46149</x:v>
      </x:c>
      <x:c r="B148" s="17" t="str">
        <x:v>Thursday</x:v>
      </x:c>
      <x:c r="C148" s="17" t="str">
        <x:v>EMP003</x:v>
      </x:c>
      <x:c r="D148" s="17" t="str">
        <x:v>Kavin</x:v>
      </x:c>
      <x:c r="E148" s="17" t="str">
        <x:v>Workload Balancing Dashboard</x:v>
      </x:c>
      <x:c r="F148" s="17" t="str">
        <x:v>Bug Fixing</x:v>
      </x:c>
      <x:c r="G148" s="18" t="n">
        <x:v>9</x:v>
      </x:c>
      <x:c r="H148" s="18" t="n">
        <x:v>8</x:v>
      </x:c>
      <x:c r="I148" s="18" t="n">
        <x:v>1</x:v>
      </x:c>
      <x:c r="J148" s="18" t="n">
        <x:v>0.5</x:v>
      </x:c>
      <x:c r="K148" s="18" t="n">
        <x:f>I148+J148</x:f>
        <x:v>1.5</x:v>
      </x:c>
      <x:c r="L148" s="18" t="n">
        <x:v>0</x:v>
      </x:c>
      <x:c r="M148" s="18" t="n">
        <x:v>0</x:v>
      </x:c>
      <x:c r="N148" s="18" t="n">
        <x:f>L148+M148</x:f>
        <x:v>0</x:v>
      </x:c>
      <x:c r="O148" s="18" t="n">
        <x:f>MAX(0,G148-I148-J148)</x:f>
        <x:v>7.5</x:v>
      </x:c>
      <x:c r="P148" s="18" t="n">
        <x:f>MAX(0,G148-8)</x:f>
        <x:v>1</x:v>
      </x:c>
      <x:c r="Q148" s="18" t="n">
        <x:f>ROUND(MIN(100,MAX(0,(O148/6.5)*100-N148*3+P148*4)),1)</x:f>
        <x:v>100</x:v>
      </x:c>
      <x:c r="R148" s="17" t="str">
        <x:f>IF(Q148&gt;=85,"High",IF(Q148&gt;=65,"Medium","Low"))</x:f>
        <x:v>High</x:v>
      </x:c>
      <x:c r="S148" s="17" t="str">
        <x:f>IF(L148&gt;=8,"Leave",IF(L148&gt;0,"Half Day",IF(M148&gt;0,"Permission",IF(P148&gt;0,"Overtime","Regular"))))</x:f>
        <x:v>Overtime</x:v>
      </x:c>
    </x:row>
    <x:row r="149">
      <x:c r="A149" s="16" t="n">
        <x:v>46150</x:v>
      </x:c>
      <x:c r="B149" s="17" t="str">
        <x:v>Friday</x:v>
      </x:c>
      <x:c r="C149" s="17" t="str">
        <x:v>EMP004</x:v>
      </x:c>
      <x:c r="D149" s="17" t="str">
        <x:v>Meera</x:v>
      </x:c>
      <x:c r="E149" s="17" t="str">
        <x:v>Task Time Prediction Model</x:v>
      </x:c>
      <x:c r="F149" s="17" t="str">
        <x:v>Dashboard Design</x:v>
      </x:c>
      <x:c r="G149" s="18" t="n">
        <x:v>8.5</x:v>
      </x:c>
      <x:c r="H149" s="18" t="n">
        <x:v>8</x:v>
      </x:c>
      <x:c r="I149" s="18" t="n">
        <x:v>1</x:v>
      </x:c>
      <x:c r="J149" s="18" t="n">
        <x:v>0.5</x:v>
      </x:c>
      <x:c r="K149" s="18" t="n">
        <x:f>I149+J149</x:f>
        <x:v>1.5</x:v>
      </x:c>
      <x:c r="L149" s="18" t="n">
        <x:v>0</x:v>
      </x:c>
      <x:c r="M149" s="18" t="n">
        <x:v>0</x:v>
      </x:c>
      <x:c r="N149" s="18" t="n">
        <x:f>L149+M149</x:f>
        <x:v>0</x:v>
      </x:c>
      <x:c r="O149" s="18" t="n">
        <x:f>MAX(0,G149-I149-J149)</x:f>
        <x:v>7</x:v>
      </x:c>
      <x:c r="P149" s="18" t="n">
        <x:f>MAX(0,G149-8)</x:f>
        <x:v>0.5</x:v>
      </x:c>
      <x:c r="Q149" s="18" t="n">
        <x:f>ROUND(MIN(100,MAX(0,(O149/6.5)*100-N149*3+P149*4)),1)</x:f>
        <x:v>100</x:v>
      </x:c>
      <x:c r="R149" s="17" t="str">
        <x:f>IF(Q149&gt;=85,"High",IF(Q149&gt;=65,"Medium","Low"))</x:f>
        <x:v>High</x:v>
      </x:c>
      <x:c r="S149" s="17" t="str">
        <x:f>IF(L149&gt;=8,"Leave",IF(L149&gt;0,"Half Day",IF(M149&gt;0,"Permission",IF(P149&gt;0,"Overtime","Regular"))))</x:f>
        <x:v>Overtime</x:v>
      </x:c>
    </x:row>
    <x:row r="150">
      <x:c r="A150" s="16" t="n">
        <x:v>46151</x:v>
      </x:c>
      <x:c r="B150" s="17" t="str">
        <x:v>Saturday</x:v>
      </x:c>
      <x:c r="C150" s="17" t="str">
        <x:v>EMP005</x:v>
      </x:c>
      <x:c r="D150" s="17" t="str">
        <x:v>Rahul</x:v>
      </x:c>
      <x:c r="E150" s="17" t="str">
        <x:v>Workload Balancing Dashboard</x:v>
      </x:c>
      <x:c r="F150" s="17" t="str">
        <x:v>Model Training</x:v>
      </x:c>
      <x:c r="G150" s="18" t="n">
        <x:v>3</x:v>
      </x:c>
      <x:c r="H150" s="18" t="n">
        <x:v>3</x:v>
      </x:c>
      <x:c r="I150" s="18" t="n">
        <x:v>0.5</x:v>
      </x:c>
      <x:c r="J150" s="18" t="n">
        <x:v>0.25</x:v>
      </x:c>
      <x:c r="K150" s="18" t="n">
        <x:f>I150+J150</x:f>
        <x:v>0.75</x:v>
      </x:c>
      <x:c r="L150" s="18" t="n">
        <x:v>0</x:v>
      </x:c>
      <x:c r="M150" s="18" t="n">
        <x:v>0</x:v>
      </x:c>
      <x:c r="N150" s="18" t="n">
        <x:f>L150+M150</x:f>
        <x:v>0</x:v>
      </x:c>
      <x:c r="O150" s="18" t="n">
        <x:f>MAX(0,G150-I150-J150)</x:f>
        <x:v>2.25</x:v>
      </x:c>
      <x:c r="P150" s="18" t="n">
        <x:f>MAX(0,G150-8)</x:f>
        <x:v>0</x:v>
      </x:c>
      <x:c r="Q150" s="18" t="n">
        <x:f>ROUND(MIN(100,MAX(0,(O150/6.5)*100-N150*3+P150*4)),1)</x:f>
        <x:v>34.6</x:v>
      </x:c>
      <x:c r="R150" s="17" t="str">
        <x:f>IF(Q150&gt;=85,"High",IF(Q150&gt;=65,"Medium","Low"))</x:f>
        <x:v>Low</x:v>
      </x:c>
      <x:c r="S150" s="17" t="str">
        <x:f>IF(L150&gt;=8,"Leave",IF(L150&gt;0,"Half Day",IF(M150&gt;0,"Permission",IF(P150&gt;0,"Overtime","Regular"))))</x:f>
        <x:v>Regular</x:v>
      </x:c>
    </x:row>
    <x:row r="151">
      <x:c r="A151" s="16" t="n">
        <x:v>46152</x:v>
      </x:c>
      <x:c r="B151" s="17" t="str">
        <x:v>Sunday</x:v>
      </x:c>
      <x:c r="C151" s="17" t="str">
        <x:v>EMP006</x:v>
      </x:c>
      <x:c r="D151" s="17" t="str">
        <x:v>Swathi</x:v>
      </x:c>
      <x:c r="E151" s="17" t="str">
        <x:v>Task Time Prediction Model</x:v>
      </x:c>
      <x:c r="F151" s="17" t="str">
        <x:v>Data Collection</x:v>
      </x:c>
      <x:c r="G151" s="18" t="n">
        <x:v>0</x:v>
      </x:c>
      <x:c r="H151" s="18" t="n">
        <x:v>0</x:v>
      </x:c>
      <x:c r="I151" s="18" t="n">
        <x:v>0</x:v>
      </x:c>
      <x:c r="J151" s="18" t="n">
        <x:v>0</x:v>
      </x:c>
      <x:c r="K151" s="18" t="n">
        <x:f>I151+J151</x:f>
        <x:v>0</x:v>
      </x:c>
      <x:c r="L151" s="18" t="n">
        <x:v>0</x:v>
      </x:c>
      <x:c r="M151" s="18" t="n">
        <x:v>0</x:v>
      </x:c>
      <x:c r="N151" s="18" t="n">
        <x:f>L151+M151</x:f>
        <x:v>0</x:v>
      </x:c>
      <x:c r="O151" s="18" t="n">
        <x:f>MAX(0,G151-I151-J151)</x:f>
        <x:v>0</x:v>
      </x:c>
      <x:c r="P151" s="18" t="n">
        <x:f>MAX(0,G151-8)</x:f>
        <x:v>0</x:v>
      </x:c>
      <x:c r="Q151" s="18" t="n">
        <x:f>ROUND(MIN(100,MAX(0,(O151/6.5)*100-N151*3+P151*4)),1)</x:f>
        <x:v>0</x:v>
      </x:c>
      <x:c r="R151" s="17" t="str">
        <x:f>IF(Q151&gt;=85,"High",IF(Q151&gt;=65,"Medium","Low"))</x:f>
        <x:v>Low</x:v>
      </x:c>
      <x:c r="S151" s="17" t="str">
        <x:f>IF(L151&gt;=8,"Leave",IF(L151&gt;0,"Half Day",IF(M151&gt;0,"Permission",IF(P151&gt;0,"Overtime","Regular"))))</x:f>
        <x:v>Regular</x:v>
      </x:c>
    </x:row>
    <x:row r="152">
      <x:c r="A152" s="16" t="n">
        <x:v>46153</x:v>
      </x:c>
      <x:c r="B152" s="17" t="str">
        <x:v>Monday</x:v>
      </x:c>
      <x:c r="C152" s="17" t="str">
        <x:v>EMP007</x:v>
      </x:c>
      <x:c r="D152" s="17" t="str">
        <x:v>Nisha</x:v>
      </x:c>
      <x:c r="E152" s="17" t="str">
        <x:v>AI Employee Productivity Tracker</x:v>
      </x:c>
      <x:c r="F152" s="17" t="str">
        <x:v>Client Review</x:v>
      </x:c>
      <x:c r="G152" s="18" t="n">
        <x:v>7</x:v>
      </x:c>
      <x:c r="H152" s="18" t="n">
        <x:v>7</x:v>
      </x:c>
      <x:c r="I152" s="18" t="n">
        <x:v>1</x:v>
      </x:c>
      <x:c r="J152" s="18" t="n">
        <x:v>0.5</x:v>
      </x:c>
      <x:c r="K152" s="18" t="n">
        <x:f>I152+J152</x:f>
        <x:v>1.5</x:v>
      </x:c>
      <x:c r="L152" s="18" t="n">
        <x:v>0</x:v>
      </x:c>
      <x:c r="M152" s="18" t="n">
        <x:v>0</x:v>
      </x:c>
      <x:c r="N152" s="18" t="n">
        <x:f>L152+M152</x:f>
        <x:v>0</x:v>
      </x:c>
      <x:c r="O152" s="18" t="n">
        <x:f>MAX(0,G152-I152-J152)</x:f>
        <x:v>5.5</x:v>
      </x:c>
      <x:c r="P152" s="18" t="n">
        <x:f>MAX(0,G152-8)</x:f>
        <x:v>0</x:v>
      </x:c>
      <x:c r="Q152" s="18" t="n">
        <x:f>ROUND(MIN(100,MAX(0,(O152/6.5)*100-N152*3+P152*4)),1)</x:f>
        <x:v>84.6</x:v>
      </x:c>
      <x:c r="R152" s="17" t="str">
        <x:f>IF(Q152&gt;=85,"High",IF(Q152&gt;=65,"Medium","Low"))</x:f>
        <x:v>Medium</x:v>
      </x:c>
      <x:c r="S152" s="17" t="str">
        <x:f>IF(L152&gt;=8,"Leave",IF(L152&gt;0,"Half Day",IF(M152&gt;0,"Permission",IF(P152&gt;0,"Overtime","Regular"))))</x:f>
        <x:v>Regular</x:v>
      </x:c>
    </x:row>
    <x:row r="153">
      <x:c r="A153" s="16" t="n">
        <x:v>46154</x:v>
      </x:c>
      <x:c r="B153" s="17" t="str">
        <x:v>Tuesday</x:v>
      </x:c>
      <x:c r="C153" s="17" t="str">
        <x:v>EMP008</x:v>
      </x:c>
      <x:c r="D153" s="17" t="str">
        <x:v>Vikram</x:v>
      </x:c>
      <x:c r="E153" s="17" t="str">
        <x:v>Project Cost Estimator</x:v>
      </x:c>
      <x:c r="F153" s="17" t="str">
        <x:v>Model Testing</x:v>
      </x:c>
      <x:c r="G153" s="18" t="n">
        <x:v>8.5</x:v>
      </x:c>
      <x:c r="H153" s="18" t="n">
        <x:v>8</x:v>
      </x:c>
      <x:c r="I153" s="18" t="n">
        <x:v>1</x:v>
      </x:c>
      <x:c r="J153" s="18" t="n">
        <x:v>0.5</x:v>
      </x:c>
      <x:c r="K153" s="18" t="n">
        <x:f>I153+J153</x:f>
        <x:v>1.5</x:v>
      </x:c>
      <x:c r="L153" s="18" t="n">
        <x:v>0</x:v>
      </x:c>
      <x:c r="M153" s="18" t="n">
        <x:v>0</x:v>
      </x:c>
      <x:c r="N153" s="18" t="n">
        <x:f>L153+M153</x:f>
        <x:v>0</x:v>
      </x:c>
      <x:c r="O153" s="18" t="n">
        <x:f>MAX(0,G153-I153-J153)</x:f>
        <x:v>7</x:v>
      </x:c>
      <x:c r="P153" s="18" t="n">
        <x:f>MAX(0,G153-8)</x:f>
        <x:v>0.5</x:v>
      </x:c>
      <x:c r="Q153" s="18" t="n">
        <x:f>ROUND(MIN(100,MAX(0,(O153/6.5)*100-N153*3+P153*4)),1)</x:f>
        <x:v>100</x:v>
      </x:c>
      <x:c r="R153" s="17" t="str">
        <x:f>IF(Q153&gt;=85,"High",IF(Q153&gt;=65,"Medium","Low"))</x:f>
        <x:v>High</x:v>
      </x:c>
      <x:c r="S153" s="17" t="str">
        <x:f>IF(L153&gt;=8,"Leave",IF(L153&gt;0,"Half Day",IF(M153&gt;0,"Permission",IF(P153&gt;0,"Overtime","Regular"))))</x:f>
        <x:v>Overtime</x:v>
      </x:c>
    </x:row>
    <x:row r="154">
      <x:c r="A154" s="16" t="n">
        <x:v>46155</x:v>
      </x:c>
      <x:c r="B154" s="17" t="str">
        <x:v>Wednesday</x:v>
      </x:c>
      <x:c r="C154" s="17" t="str">
        <x:v>EMP001</x:v>
      </x:c>
      <x:c r="D154" s="17" t="str">
        <x:v>Aarav</x:v>
      </x:c>
      <x:c r="E154" s="17" t="str">
        <x:v>AI Employee Productivity Tracker</x:v>
      </x:c>
      <x:c r="F154" s="17" t="str">
        <x:v>Feature Engineering</x:v>
      </x:c>
      <x:c r="G154" s="18" t="n">
        <x:v>6</x:v>
      </x:c>
      <x:c r="H154" s="18" t="n">
        <x:v>6</x:v>
      </x:c>
      <x:c r="I154" s="18" t="n">
        <x:v>1</x:v>
      </x:c>
      <x:c r="J154" s="18" t="n">
        <x:v>0.5</x:v>
      </x:c>
      <x:c r="K154" s="18" t="n">
        <x:f>I154+J154</x:f>
        <x:v>1.5</x:v>
      </x:c>
      <x:c r="L154" s="18" t="n">
        <x:v>0</x:v>
      </x:c>
      <x:c r="M154" s="18" t="n">
        <x:v>0</x:v>
      </x:c>
      <x:c r="N154" s="18" t="n">
        <x:f>L154+M154</x:f>
        <x:v>0</x:v>
      </x:c>
      <x:c r="O154" s="18" t="n">
        <x:f>MAX(0,G154-I154-J154)</x:f>
        <x:v>4.5</x:v>
      </x:c>
      <x:c r="P154" s="18" t="n">
        <x:f>MAX(0,G154-8)</x:f>
        <x:v>0</x:v>
      </x:c>
      <x:c r="Q154" s="18" t="n">
        <x:f>ROUND(MIN(100,MAX(0,(O154/6.5)*100-N154*3+P154*4)),1)</x:f>
        <x:v>69.2</x:v>
      </x:c>
      <x:c r="R154" s="17" t="str">
        <x:f>IF(Q154&gt;=85,"High",IF(Q154&gt;=65,"Medium","Low"))</x:f>
        <x:v>Medium</x:v>
      </x:c>
      <x:c r="S154" s="17" t="str">
        <x:f>IF(L154&gt;=8,"Leave",IF(L154&gt;0,"Half Day",IF(M154&gt;0,"Permission",IF(P154&gt;0,"Overtime","Regular"))))</x:f>
        <x:v>Regular</x:v>
      </x:c>
    </x:row>
    <x:row r="155">
      <x:c r="A155" s="16" t="n">
        <x:v>46156</x:v>
      </x:c>
      <x:c r="B155" s="17" t="str">
        <x:v>Thursday</x:v>
      </x:c>
      <x:c r="C155" s="17" t="str">
        <x:v>EMP002</x:v>
      </x:c>
      <x:c r="D155" s="17" t="str">
        <x:v>Diya</x:v>
      </x:c>
      <x:c r="E155" s="17" t="str">
        <x:v>Project Cost Estimator</x:v>
      </x:c>
      <x:c r="F155" s="17" t="str">
        <x:v>Deployment</x:v>
      </x:c>
      <x:c r="G155" s="18" t="n">
        <x:v>6</x:v>
      </x:c>
      <x:c r="H155" s="18" t="n">
        <x:v>6</x:v>
      </x:c>
      <x:c r="I155" s="18" t="n">
        <x:v>1</x:v>
      </x:c>
      <x:c r="J155" s="18" t="n">
        <x:v>0.5</x:v>
      </x:c>
      <x:c r="K155" s="18" t="n">
        <x:f>I155+J155</x:f>
        <x:v>1.5</x:v>
      </x:c>
      <x:c r="L155" s="18" t="n">
        <x:v>0</x:v>
      </x:c>
      <x:c r="M155" s="18" t="n">
        <x:v>0</x:v>
      </x:c>
      <x:c r="N155" s="18" t="n">
        <x:f>L155+M155</x:f>
        <x:v>0</x:v>
      </x:c>
      <x:c r="O155" s="18" t="n">
        <x:f>MAX(0,G155-I155-J155)</x:f>
        <x:v>4.5</x:v>
      </x:c>
      <x:c r="P155" s="18" t="n">
        <x:f>MAX(0,G155-8)</x:f>
        <x:v>0</x:v>
      </x:c>
      <x:c r="Q155" s="18" t="n">
        <x:f>ROUND(MIN(100,MAX(0,(O155/6.5)*100-N155*3+P155*4)),1)</x:f>
        <x:v>69.2</x:v>
      </x:c>
      <x:c r="R155" s="17" t="str">
        <x:f>IF(Q155&gt;=85,"High",IF(Q155&gt;=65,"Medium","Low"))</x:f>
        <x:v>Medium</x:v>
      </x:c>
      <x:c r="S155" s="17" t="str">
        <x:f>IF(L155&gt;=8,"Leave",IF(L155&gt;0,"Half Day",IF(M155&gt;0,"Permission",IF(P155&gt;0,"Overtime","Regular"))))</x:f>
        <x:v>Regular</x:v>
      </x:c>
    </x:row>
    <x:row r="156">
      <x:c r="A156" s="16" t="n">
        <x:v>46157</x:v>
      </x:c>
      <x:c r="B156" s="17" t="str">
        <x:v>Friday</x:v>
      </x:c>
      <x:c r="C156" s="17" t="str">
        <x:v>EMP003</x:v>
      </x:c>
      <x:c r="D156" s="17" t="str">
        <x:v>Kavin</x:v>
      </x:c>
      <x:c r="E156" s="17" t="str">
        <x:v>AI Employee Productivity Tracker</x:v>
      </x:c>
      <x:c r="F156" s="17" t="str">
        <x:v>Documentation</x:v>
      </x:c>
      <x:c r="G156" s="18" t="n">
        <x:v>0</x:v>
      </x:c>
      <x:c r="H156" s="18" t="n">
        <x:v>0</x:v>
      </x:c>
      <x:c r="I156" s="18" t="n">
        <x:v>0</x:v>
      </x:c>
      <x:c r="J156" s="18" t="n">
        <x:v>0</x:v>
      </x:c>
      <x:c r="K156" s="18" t="n">
        <x:f>I156+J156</x:f>
        <x:v>0</x:v>
      </x:c>
      <x:c r="L156" s="18" t="n">
        <x:v>8</x:v>
      </x:c>
      <x:c r="M156" s="18" t="n">
        <x:v>0</x:v>
      </x:c>
      <x:c r="N156" s="18" t="n">
        <x:f>L156+M156</x:f>
        <x:v>8</x:v>
      </x:c>
      <x:c r="O156" s="18" t="n">
        <x:f>MAX(0,G156-I156-J156)</x:f>
        <x:v>0</x:v>
      </x:c>
      <x:c r="P156" s="18" t="n">
        <x:f>MAX(0,G156-8)</x:f>
        <x:v>0</x:v>
      </x:c>
      <x:c r="Q156" s="18" t="n">
        <x:f>ROUND(MIN(100,MAX(0,(O156/6.5)*100-N156*3+P156*4)),1)</x:f>
        <x:v>0</x:v>
      </x:c>
      <x:c r="R156" s="17" t="str">
        <x:f>IF(Q156&gt;=85,"High",IF(Q156&gt;=65,"Medium","Low"))</x:f>
        <x:v>Low</x:v>
      </x:c>
      <x:c r="S156" s="17" t="str">
        <x:f>IF(L156&gt;=8,"Leave",IF(L156&gt;0,"Half Day",IF(M156&gt;0,"Permission",IF(P156&gt;0,"Overtime","Regular"))))</x:f>
        <x:v>Leave</x:v>
      </x:c>
    </x:row>
    <x:row r="157">
      <x:c r="A157" s="16" t="n">
        <x:v>46158</x:v>
      </x:c>
      <x:c r="B157" s="17" t="str">
        <x:v>Saturday</x:v>
      </x:c>
      <x:c r="C157" s="17" t="str">
        <x:v>EMP004</x:v>
      </x:c>
      <x:c r="D157" s="17" t="str">
        <x:v>Meera</x:v>
      </x:c>
      <x:c r="E157" s="17" t="str">
        <x:v>Leave Pattern Analysis</x:v>
      </x:c>
      <x:c r="F157" s="17" t="str">
        <x:v>Model Training</x:v>
      </x:c>
      <x:c r="G157" s="18" t="n">
        <x:v>4</x:v>
      </x:c>
      <x:c r="H157" s="18" t="n">
        <x:v>4</x:v>
      </x:c>
      <x:c r="I157" s="18" t="n">
        <x:v>0.5</x:v>
      </x:c>
      <x:c r="J157" s="18" t="n">
        <x:v>0.25</x:v>
      </x:c>
      <x:c r="K157" s="18" t="n">
        <x:f>I157+J157</x:f>
        <x:v>0.75</x:v>
      </x:c>
      <x:c r="L157" s="18" t="n">
        <x:v>0</x:v>
      </x:c>
      <x:c r="M157" s="18" t="n">
        <x:v>0</x:v>
      </x:c>
      <x:c r="N157" s="18" t="n">
        <x:f>L157+M157</x:f>
        <x:v>0</x:v>
      </x:c>
      <x:c r="O157" s="18" t="n">
        <x:f>MAX(0,G157-I157-J157)</x:f>
        <x:v>3.25</x:v>
      </x:c>
      <x:c r="P157" s="18" t="n">
        <x:f>MAX(0,G157-8)</x:f>
        <x:v>0</x:v>
      </x:c>
      <x:c r="Q157" s="18" t="n">
        <x:f>ROUND(MIN(100,MAX(0,(O157/6.5)*100-N157*3+P157*4)),1)</x:f>
        <x:v>50</x:v>
      </x:c>
      <x:c r="R157" s="17" t="str">
        <x:f>IF(Q157&gt;=85,"High",IF(Q157&gt;=65,"Medium","Low"))</x:f>
        <x:v>Low</x:v>
      </x:c>
      <x:c r="S157" s="17" t="str">
        <x:f>IF(L157&gt;=8,"Leave",IF(L157&gt;0,"Half Day",IF(M157&gt;0,"Permission",IF(P157&gt;0,"Overtime","Regular"))))</x:f>
        <x:v>Regular</x:v>
      </x:c>
    </x:row>
    <x:row r="158">
      <x:c r="A158" s="16" t="n">
        <x:v>46159</x:v>
      </x:c>
      <x:c r="B158" s="17" t="str">
        <x:v>Sunday</x:v>
      </x:c>
      <x:c r="C158" s="17" t="str">
        <x:v>EMP005</x:v>
      </x:c>
      <x:c r="D158" s="17" t="str">
        <x:v>Rahul</x:v>
      </x:c>
      <x:c r="E158" s="17" t="str">
        <x:v>Smart Attendance Analytics</x:v>
      </x:c>
      <x:c r="F158" s="17" t="str">
        <x:v>Data Cleaning</x:v>
      </x:c>
      <x:c r="G158" s="18" t="n">
        <x:v>4</x:v>
      </x:c>
      <x:c r="H158" s="18" t="n">
        <x:v>4</x:v>
      </x:c>
      <x:c r="I158" s="18" t="n">
        <x:v>0.5</x:v>
      </x:c>
      <x:c r="J158" s="18" t="n">
        <x:v>0.25</x:v>
      </x:c>
      <x:c r="K158" s="18" t="n">
        <x:f>I158+J158</x:f>
        <x:v>0.75</x:v>
      </x:c>
      <x:c r="L158" s="18" t="n">
        <x:v>0</x:v>
      </x:c>
      <x:c r="M158" s="18" t="n">
        <x:v>0</x:v>
      </x:c>
      <x:c r="N158" s="18" t="n">
        <x:f>L158+M158</x:f>
        <x:v>0</x:v>
      </x:c>
      <x:c r="O158" s="18" t="n">
        <x:f>MAX(0,G158-I158-J158)</x:f>
        <x:v>3.25</x:v>
      </x:c>
      <x:c r="P158" s="18" t="n">
        <x:f>MAX(0,G158-8)</x:f>
        <x:v>0</x:v>
      </x:c>
      <x:c r="Q158" s="18" t="n">
        <x:f>ROUND(MIN(100,MAX(0,(O158/6.5)*100-N158*3+P158*4)),1)</x:f>
        <x:v>50</x:v>
      </x:c>
      <x:c r="R158" s="17" t="str">
        <x:f>IF(Q158&gt;=85,"High",IF(Q158&gt;=65,"Medium","Low"))</x:f>
        <x:v>Low</x:v>
      </x:c>
      <x:c r="S158" s="17" t="str">
        <x:f>IF(L158&gt;=8,"Leave",IF(L158&gt;0,"Half Day",IF(M158&gt;0,"Permission",IF(P158&gt;0,"Overtime","Regular"))))</x:f>
        <x:v>Regular</x:v>
      </x:c>
    </x:row>
    <x:row r="159">
      <x:c r="A159" s="16" t="n">
        <x:v>46160</x:v>
      </x:c>
      <x:c r="B159" s="17" t="str">
        <x:v>Monday</x:v>
      </x:c>
      <x:c r="C159" s="17" t="str">
        <x:v>EMP006</x:v>
      </x:c>
      <x:c r="D159" s="17" t="str">
        <x:v>Swathi</x:v>
      </x:c>
      <x:c r="E159" s="17" t="str">
        <x:v>Leave Pattern Analysis</x:v>
      </x:c>
      <x:c r="F159" s="17" t="str">
        <x:v>Bug Fixing</x:v>
      </x:c>
      <x:c r="G159" s="18" t="n">
        <x:v>3</x:v>
      </x:c>
      <x:c r="H159" s="18" t="n">
        <x:v>3</x:v>
      </x:c>
      <x:c r="I159" s="18" t="n">
        <x:v>0.5</x:v>
      </x:c>
      <x:c r="J159" s="18" t="n">
        <x:v>0.25</x:v>
      </x:c>
      <x:c r="K159" s="18" t="n">
        <x:f>I159+J159</x:f>
        <x:v>0.75</x:v>
      </x:c>
      <x:c r="L159" s="18" t="n">
        <x:v>0</x:v>
      </x:c>
      <x:c r="M159" s="18" t="n">
        <x:v>3</x:v>
      </x:c>
      <x:c r="N159" s="18" t="n">
        <x:f>L159+M159</x:f>
        <x:v>3</x:v>
      </x:c>
      <x:c r="O159" s="18" t="n">
        <x:f>MAX(0,G159-I159-J159)</x:f>
        <x:v>2.25</x:v>
      </x:c>
      <x:c r="P159" s="18" t="n">
        <x:f>MAX(0,G159-8)</x:f>
        <x:v>0</x:v>
      </x:c>
      <x:c r="Q159" s="18" t="n">
        <x:f>ROUND(MIN(100,MAX(0,(O159/6.5)*100-N159*3+P159*4)),1)</x:f>
        <x:v>25.6</x:v>
      </x:c>
      <x:c r="R159" s="17" t="str">
        <x:f>IF(Q159&gt;=85,"High",IF(Q159&gt;=65,"Medium","Low"))</x:f>
        <x:v>Low</x:v>
      </x:c>
      <x:c r="S159" s="17" t="str">
        <x:f>IF(L159&gt;=8,"Leave",IF(L159&gt;0,"Half Day",IF(M159&gt;0,"Permission",IF(P159&gt;0,"Overtime","Regular"))))</x:f>
        <x:v>Permission</x:v>
      </x:c>
    </x:row>
    <x:row r="160">
      <x:c r="A160" s="16" t="n">
        <x:v>46161</x:v>
      </x:c>
      <x:c r="B160" s="17" t="str">
        <x:v>Tuesday</x:v>
      </x:c>
      <x:c r="C160" s="17" t="str">
        <x:v>EMP007</x:v>
      </x:c>
      <x:c r="D160" s="17" t="str">
        <x:v>Nisha</x:v>
      </x:c>
      <x:c r="E160" s="17" t="str">
        <x:v>Smart Attendance Analytics</x:v>
      </x:c>
      <x:c r="F160" s="17" t="str">
        <x:v>Dashboard Design</x:v>
      </x:c>
      <x:c r="G160" s="18" t="n">
        <x:v>6</x:v>
      </x:c>
      <x:c r="H160" s="18" t="n">
        <x:v>6</x:v>
      </x:c>
      <x:c r="I160" s="18" t="n">
        <x:v>1</x:v>
      </x:c>
      <x:c r="J160" s="18" t="n">
        <x:v>0.5</x:v>
      </x:c>
      <x:c r="K160" s="18" t="n">
        <x:f>I160+J160</x:f>
        <x:v>1.5</x:v>
      </x:c>
      <x:c r="L160" s="18" t="n">
        <x:v>0</x:v>
      </x:c>
      <x:c r="M160" s="18" t="n">
        <x:v>0</x:v>
      </x:c>
      <x:c r="N160" s="18" t="n">
        <x:f>L160+M160</x:f>
        <x:v>0</x:v>
      </x:c>
      <x:c r="O160" s="18" t="n">
        <x:f>MAX(0,G160-I160-J160)</x:f>
        <x:v>4.5</x:v>
      </x:c>
      <x:c r="P160" s="18" t="n">
        <x:f>MAX(0,G160-8)</x:f>
        <x:v>0</x:v>
      </x:c>
      <x:c r="Q160" s="18" t="n">
        <x:f>ROUND(MIN(100,MAX(0,(O160/6.5)*100-N160*3+P160*4)),1)</x:f>
        <x:v>69.2</x:v>
      </x:c>
      <x:c r="R160" s="17" t="str">
        <x:f>IF(Q160&gt;=85,"High",IF(Q160&gt;=65,"Medium","Low"))</x:f>
        <x:v>Medium</x:v>
      </x:c>
      <x:c r="S160" s="17" t="str">
        <x:f>IF(L160&gt;=8,"Leave",IF(L160&gt;0,"Half Day",IF(M160&gt;0,"Permission",IF(P160&gt;0,"Overtime","Regular"))))</x:f>
        <x:v>Regular</x:v>
      </x:c>
    </x:row>
    <x:row r="161">
      <x:c r="A161" s="16" t="n">
        <x:v>46162</x:v>
      </x:c>
      <x:c r="B161" s="17" t="str">
        <x:v>Wednesday</x:v>
      </x:c>
      <x:c r="C161" s="17" t="str">
        <x:v>EMP008</x:v>
      </x:c>
      <x:c r="D161" s="17" t="str">
        <x:v>Vikram</x:v>
      </x:c>
      <x:c r="E161" s="17" t="str">
        <x:v>Leave Pattern Analysis</x:v>
      </x:c>
      <x:c r="F161" s="17" t="str">
        <x:v>Feature Engineering</x:v>
      </x:c>
      <x:c r="G161" s="18" t="n">
        <x:v>9</x:v>
      </x:c>
      <x:c r="H161" s="18" t="n">
        <x:v>8</x:v>
      </x:c>
      <x:c r="I161" s="18" t="n">
        <x:v>1</x:v>
      </x:c>
      <x:c r="J161" s="18" t="n">
        <x:v>0.5</x:v>
      </x:c>
      <x:c r="K161" s="18" t="n">
        <x:f>I161+J161</x:f>
        <x:v>1.5</x:v>
      </x:c>
      <x:c r="L161" s="18" t="n">
        <x:v>0</x:v>
      </x:c>
      <x:c r="M161" s="18" t="n">
        <x:v>0</x:v>
      </x:c>
      <x:c r="N161" s="18" t="n">
        <x:f>L161+M161</x:f>
        <x:v>0</x:v>
      </x:c>
      <x:c r="O161" s="18" t="n">
        <x:f>MAX(0,G161-I161-J161)</x:f>
        <x:v>7.5</x:v>
      </x:c>
      <x:c r="P161" s="18" t="n">
        <x:f>MAX(0,G161-8)</x:f>
        <x:v>1</x:v>
      </x:c>
      <x:c r="Q161" s="18" t="n">
        <x:f>ROUND(MIN(100,MAX(0,(O161/6.5)*100-N161*3+P161*4)),1)</x:f>
        <x:v>100</x:v>
      </x:c>
      <x:c r="R161" s="17" t="str">
        <x:f>IF(Q161&gt;=85,"High",IF(Q161&gt;=65,"Medium","Low"))</x:f>
        <x:v>High</x:v>
      </x:c>
      <x:c r="S161" s="17" t="str">
        <x:f>IF(L161&gt;=8,"Leave",IF(L161&gt;0,"Half Day",IF(M161&gt;0,"Permission",IF(P161&gt;0,"Overtime","Regular"))))</x:f>
        <x:v>Overtime</x:v>
      </x:c>
    </x:row>
  </x:sheetData>
  <x:conditionalFormatting sqref="Q2:Q16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R2:R161">
    <x:cfRule type="expression" dxfId="0" priority="2">
      <x:formula>R2="High"</x:formula>
    </x:cfRule>
    <x:cfRule type="expression" dxfId="1" priority="3">
      <x:formula>R2="Medium"</x:formula>
    </x:cfRule>
    <x:cfRule type="expression" dxfId="2" priority="4">
      <x:formula>R2="Low"</x:formula>
    </x:cfRule>
  </x:conditionalFormatting>
  <x:dataValidations count="2">
    <x:dataValidation type="list" sqref="R2:R161">
      <x:formula1>"High,Medium,Low"</x:formula1>
    </x:dataValidation>
    <x:dataValidation type="list" sqref="S2:S161">
      <x:formula1>"Regular,Overtime,Permission,Half Day,Leave"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d56d03790745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7.90999984741211" hidden="0" customWidth="1"/>
    <x:col min="2" max="2" width="9.149999618530273" hidden="0" customWidth="1"/>
    <x:col min="3" max="3" width="17.360000610351562" hidden="0" customWidth="1"/>
    <x:col min="4" max="4" width="14.670000076293945" hidden="0" customWidth="1"/>
    <x:col min="5" max="5" width="4.849999904632568" hidden="0" customWidth="1"/>
    <x:col min="6" max="6" width="11.4399995803833" hidden="0" customWidth="1"/>
  </x:cols>
  <x:sheetData>
    <x:row r="1">
      <x:c r="A1" s="36" t="str">
        <x:v>AI &amp; ML Productivity Dataset - Summary</x:v>
      </x:c>
      <x:c r="B1" s="17"/>
      <x:c r="C1" s="17"/>
      <x:c r="D1" s="17"/>
      <x:c r="E1" s="17"/>
      <x:c r="F1" s="17"/>
      <x:c r="G1" s="17"/>
      <x:c r="H1" s="17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37" t="str">
        <x:v>Metric</x:v>
      </x:c>
      <x:c r="B3" s="37" t="str">
        <x:v>Value</x:v>
      </x:c>
      <x:c r="C3" s="17"/>
      <x:c r="D3" s="37" t="str">
        <x:v>Productivity Label</x:v>
      </x:c>
      <x:c r="E3" s="37" t="str">
        <x:v>Count</x:v>
      </x:c>
      <x:c r="F3" s="37" t="str">
        <x:v>Average Score</x:v>
      </x:c>
      <x:c r="G3" s="17"/>
      <x:c r="H3" s="17"/>
    </x:row>
    <x:row r="4">
      <x:c r="A4" s="38" t="str">
        <x:v>Total Records</x:v>
      </x:c>
      <x:c r="B4" s="17" t="n">
        <x:f>COUNTA(Dataset!A2:A161)</x:f>
        <x:v>160</x:v>
      </x:c>
      <x:c r="C4" s="17"/>
      <x:c r="D4" s="17" t="str">
        <x:v>High</x:v>
      </x:c>
      <x:c r="E4" s="17" t="n">
        <x:f>COUNTIF(Dataset!R2:R161,D4)</x:f>
        <x:v>49</x:v>
      </x:c>
      <x:c r="F4" s="18" t="n">
        <x:f>IFERROR(AVERAGEIF(Dataset!R2:R161,D4,Dataset!Q2:Q161),0)</x:f>
        <x:v>98.9</x:v>
      </x:c>
      <x:c r="G4" s="17"/>
      <x:c r="H4" s="17"/>
    </x:row>
    <x:row r="5">
      <x:c r="A5" s="38" t="str">
        <x:v>Total Projects</x:v>
      </x:c>
      <x:c r="B5" s="17" t="n">
        <x:f>COUNTA(UNIQUE(Dataset!E2:E161))</x:f>
        <x:v>6</x:v>
      </x:c>
      <x:c r="C5" s="17"/>
      <x:c r="D5" s="17" t="str">
        <x:v>Medium</x:v>
      </x:c>
      <x:c r="E5" s="17" t="n">
        <x:f>COUNTIF(Dataset!R3:R162,D5)</x:f>
        <x:v>42</x:v>
      </x:c>
      <x:c r="F5" s="18" t="n">
        <x:f>IFERROR(AVERAGEIF(Dataset!R3:R162,D5,Dataset!Q3:Q162),0)</x:f>
        <x:v>76.09523809523805</x:v>
      </x:c>
      <x:c r="G5" s="17"/>
      <x:c r="H5" s="17"/>
    </x:row>
    <x:row r="6">
      <x:c r="A6" s="38" t="str">
        <x:v>Total Working Hours</x:v>
      </x:c>
      <x:c r="B6" s="18" t="n">
        <x:f>SUM(Dataset!G2:G161)</x:f>
        <x:v>859</x:v>
      </x:c>
      <x:c r="C6" s="17"/>
      <x:c r="D6" s="17" t="str">
        <x:v>Low</x:v>
      </x:c>
      <x:c r="E6" s="17" t="n">
        <x:f>COUNTIF(Dataset!R4:R163,D6)</x:f>
        <x:v>67</x:v>
      </x:c>
      <x:c r="F6" s="18" t="n">
        <x:f>IFERROR(AVERAGEIF(Dataset!R4:R163,D6,Dataset!Q4:Q163),0)</x:f>
        <x:v>27.497014925373136</x:v>
      </x:c>
      <x:c r="G6" s="17"/>
      <x:c r="H6" s="17"/>
    </x:row>
    <x:row r="7">
      <x:c r="A7" s="38" t="str">
        <x:v>Total Net Productive Hours</x:v>
      </x:c>
      <x:c r="B7" s="18" t="n">
        <x:f>SUM(Dataset!O2:O161)</x:f>
        <x:v>680</x:v>
      </x:c>
      <x:c r="C7" s="17"/>
      <x:c r="D7" s="17"/>
      <x:c r="E7" s="17"/>
      <x:c r="F7" s="17"/>
      <x:c r="G7" s="17"/>
      <x:c r="H7" s="17"/>
    </x:row>
    <x:row r="8">
      <x:c r="A8" s="38" t="str">
        <x:v>Average Productivity Score</x:v>
      </x:c>
      <x:c r="B8" s="18" t="n">
        <x:f>AVERAGE(Dataset!Q2:Q161)</x:f>
        <x:v>62.33000000000003</x:v>
      </x:c>
      <x:c r="C8" s="17"/>
      <x:c r="D8" s="17"/>
      <x:c r="E8" s="17"/>
      <x:c r="F8" s="17"/>
      <x:c r="G8" s="17"/>
      <x:c r="H8" s="17"/>
    </x:row>
    <x:row r="9">
      <x:c r="A9" s="17"/>
      <x:c r="B9" s="17"/>
      <x:c r="C9" s="17"/>
      <x:c r="D9" s="17"/>
      <x:c r="E9" s="17"/>
      <x:c r="F9" s="17"/>
      <x:c r="G9" s="17"/>
      <x:c r="H9" s="17"/>
    </x:row>
    <x:row r="10">
      <x:c r="A10" s="17"/>
      <x:c r="B10" s="17"/>
      <x:c r="C10" s="17"/>
      <x:c r="D10" s="17"/>
      <x:c r="E10" s="17"/>
      <x:c r="F10" s="17"/>
      <x:c r="G10" s="17"/>
      <x:c r="H10" s="17"/>
    </x:row>
    <x:row r="11">
      <x:c r="A11" s="37" t="str">
        <x:v>Project Name</x:v>
      </x:c>
      <x:c r="B11" s="37" t="str">
        <x:v>Total Hours</x:v>
      </x:c>
      <x:c r="C11" s="37" t="str">
        <x:v>Net Productive Hours</x:v>
      </x:c>
      <x:c r="D11" s="17"/>
      <x:c r="E11" s="17"/>
      <x:c r="F11" s="17"/>
      <x:c r="G11" s="17"/>
      <x:c r="H11" s="17"/>
    </x:row>
    <x:row r="12">
      <x:c r="A12" s="17" t="str">
        <x:v>AI Employee Productivity Tracker</x:v>
      </x:c>
      <x:c r="B12" s="18" t="n">
        <x:f>SUMIF(Dataset!E2:E161,A12,Dataset!G2:G161)</x:f>
        <x:v>169</x:v>
      </x:c>
      <x:c r="C12" s="18" t="n">
        <x:f>SUMIF(Dataset!E2:E161,A12,Dataset!O2:O161)</x:f>
        <x:v>132.5</x:v>
      </x:c>
      <x:c r="D12" s="17"/>
      <x:c r="E12" s="17"/>
      <x:c r="F12" s="17"/>
      <x:c r="G12" s="17"/>
      <x:c r="H12" s="17"/>
    </x:row>
    <x:row r="13">
      <x:c r="A13" s="17" t="str">
        <x:v>Smart Attendance Analytics</x:v>
      </x:c>
      <x:c r="B13" s="18" t="n">
        <x:f>SUMIF(Dataset!E2:E161,A13,Dataset!G2:G161)</x:f>
        <x:v>107</x:v>
      </x:c>
      <x:c r="C13" s="18" t="n">
        <x:f>SUMIF(Dataset!E2:E161,A13,Dataset!O2:O161)</x:f>
        <x:v>85.5</x:v>
      </x:c>
      <x:c r="D13" s="17"/>
      <x:c r="E13" s="17"/>
      <x:c r="F13" s="17"/>
      <x:c r="G13" s="17"/>
      <x:c r="H13" s="17"/>
    </x:row>
    <x:row r="14">
      <x:c r="A14" s="17" t="str">
        <x:v>Task Time Prediction Model</x:v>
      </x:c>
      <x:c r="B14" s="18" t="n">
        <x:f>SUMIF(Dataset!E2:E161,A14,Dataset!G2:G161)</x:f>
        <x:v>196</x:v>
      </x:c>
      <x:c r="C14" s="18" t="n">
        <x:f>SUMIF(Dataset!E2:E161,A14,Dataset!O2:O161)</x:f>
        <x:v>158.5</x:v>
      </x:c>
      <x:c r="D14" s="17"/>
      <x:c r="E14" s="17"/>
      <x:c r="F14" s="17"/>
      <x:c r="G14" s="17"/>
      <x:c r="H14" s="17"/>
    </x:row>
    <x:row r="15">
      <x:c r="A15" s="17" t="str">
        <x:v>Project Cost Estimator</x:v>
      </x:c>
      <x:c r="B15" s="18" t="n">
        <x:f>SUMIF(Dataset!E2:E161,A15,Dataset!G2:G161)</x:f>
        <x:v>105</x:v>
      </x:c>
      <x:c r="C15" s="18" t="n">
        <x:f>SUMIF(Dataset!E2:E161,A15,Dataset!O2:O161)</x:f>
        <x:v>81</x:v>
      </x:c>
      <x:c r="D15" s="17"/>
      <x:c r="E15" s="17"/>
      <x:c r="F15" s="17"/>
      <x:c r="G15" s="17"/>
      <x:c r="H15" s="17"/>
    </x:row>
    <x:row r="16">
      <x:c r="A16" s="17" t="str">
        <x:v>Leave Pattern Analysis</x:v>
      </x:c>
      <x:c r="B16" s="18" t="n">
        <x:f>SUMIF(Dataset!E2:E161,A16,Dataset!G2:G161)</x:f>
        <x:v>184.5</x:v>
      </x:c>
      <x:c r="C16" s="18" t="n">
        <x:f>SUMIF(Dataset!E2:E161,A16,Dataset!O2:O161)</x:f>
        <x:v>145</x:v>
      </x:c>
      <x:c r="D16" s="17"/>
      <x:c r="E16" s="17"/>
      <x:c r="F16" s="17"/>
      <x:c r="G16" s="17"/>
      <x:c r="H16" s="17"/>
    </x:row>
    <x:row r="17">
      <x:c r="A17" s="17" t="str">
        <x:v>Workload Balancing Dashboard</x:v>
      </x:c>
      <x:c r="B17" s="18" t="n">
        <x:f>SUMIF(Dataset!E2:E161,A17,Dataset!G2:G161)</x:f>
        <x:v>97.5</x:v>
      </x:c>
      <x:c r="C17" s="18" t="n">
        <x:f>SUMIF(Dataset!E2:E161,A17,Dataset!O2:O161)</x:f>
        <x:v>77.5</x:v>
      </x:c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a676f511e504b67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26" hidden="0" customWidth="1"/>
  </x:cols>
  <x:sheetData>
    <x:row r="1">
      <x:c r="A1" s="5" t="str">
        <x:v>Column</x:v>
      </x:c>
      <x:c r="B1" s="5" t="str">
        <x:v>Description</x:v>
      </x:c>
      <x:c r="C1" s="5" t="str">
        <x:v>Suggested ML Use</x:v>
      </x:c>
    </x:row>
    <x:row r="2">
      <x:c r="A2" s="17" t="str">
        <x:v>Date</x:v>
      </x:c>
      <x:c r="B2" s="17" t="str">
        <x:v>Calendar date for daily work record.</x:v>
      </x:c>
      <x:c r="C2" s="17" t="str">
        <x:v>Time feature</x:v>
      </x:c>
    </x:row>
    <x:row r="3">
      <x:c r="A3" s="17" t="str">
        <x:v>Day</x:v>
      </x:c>
      <x:c r="B3" s="17" t="str">
        <x:v>Day name generated from date.</x:v>
      </x:c>
      <x:c r="C3" s="17" t="str">
        <x:v>Categorical feature</x:v>
      </x:c>
    </x:row>
    <x:row r="4">
      <x:c r="A4" s="17" t="str">
        <x:v>Employee ID</x:v>
      </x:c>
      <x:c r="B4" s="17" t="str">
        <x:v>Unique employee identifier.</x:v>
      </x:c>
      <x:c r="C4" s="17" t="str">
        <x:v>Categorical feature</x:v>
      </x:c>
    </x:row>
    <x:row r="5">
      <x:c r="A5" s="17" t="str">
        <x:v>Employee Name</x:v>
      </x:c>
      <x:c r="B5" s="17" t="str">
        <x:v>Employee display name.</x:v>
      </x:c>
      <x:c r="C5" s="17" t="str">
        <x:v>Reference only</x:v>
      </x:c>
    </x:row>
    <x:row r="6">
      <x:c r="A6" s="17" t="str">
        <x:v>Project Name</x:v>
      </x:c>
      <x:c r="B6" s="17" t="str">
        <x:v>Project worked on.</x:v>
      </x:c>
      <x:c r="C6" s="17" t="str">
        <x:v>Categorical feature</x:v>
      </x:c>
    </x:row>
    <x:row r="7">
      <x:c r="A7" s="17" t="str">
        <x:v>Task Name</x:v>
      </x:c>
      <x:c r="B7" s="17" t="str">
        <x:v>Task/activity performed.</x:v>
      </x:c>
      <x:c r="C7" s="17" t="str">
        <x:v>Categorical feature</x:v>
      </x:c>
    </x:row>
    <x:row r="8">
      <x:c r="A8" s="17" t="str">
        <x:v>Working Hours for Every Day</x:v>
      </x:c>
      <x:c r="B8" s="17" t="str">
        <x:v>Total hours spent on project/task for that day.</x:v>
      </x:c>
      <x:c r="C8" s="17" t="str">
        <x:v>Numeric input</x:v>
      </x:c>
    </x:row>
    <x:row r="9">
      <x:c r="A9" s="17" t="str">
        <x:v>Total Working Hours Per Day</x:v>
      </x:c>
      <x:c r="B9" s="17" t="str">
        <x:v>Regular working hours counted for the day, capped at 8 hours.</x:v>
      </x:c>
      <x:c r="C9" s="17" t="str">
        <x:v>Numeric input</x:v>
      </x:c>
    </x:row>
    <x:row r="10">
      <x:c r="A10" s="17" t="str">
        <x:v>Lunch Time</x:v>
      </x:c>
      <x:c r="B10" s="17" t="str">
        <x:v>Lunch duration in hours.</x:v>
      </x:c>
      <x:c r="C10" s="17" t="str">
        <x:v>Numeric input</x:v>
      </x:c>
    </x:row>
    <x:row r="11">
      <x:c r="A11" s="17" t="str">
        <x:v>Break Time</x:v>
      </x:c>
      <x:c r="B11" s="17" t="str">
        <x:v>Break duration in hours.</x:v>
      </x:c>
      <x:c r="C11" s="17" t="str">
        <x:v>Numeric input</x:v>
      </x:c>
    </x:row>
    <x:row r="12">
      <x:c r="A12" s="17" t="str">
        <x:v>Lunch Time &amp; Break Time</x:v>
      </x:c>
      <x:c r="B12" s="17" t="str">
        <x:v>Combined lunch and break hours.</x:v>
      </x:c>
      <x:c r="C12" s="17" t="str">
        <x:v>Derived feature</x:v>
      </x:c>
    </x:row>
    <x:row r="13">
      <x:c r="A13" s="17" t="str">
        <x:v>Total Leave</x:v>
      </x:c>
      <x:c r="B13" s="17" t="str">
        <x:v>Leave hours taken on that day.</x:v>
      </x:c>
      <x:c r="C13" s="17" t="str">
        <x:v>Numeric input</x:v>
      </x:c>
    </x:row>
    <x:row r="14">
      <x:c r="A14" s="17" t="str">
        <x:v>Permission</x:v>
      </x:c>
      <x:c r="B14" s="17" t="str">
        <x:v>Permission hours taken on that day.</x:v>
      </x:c>
      <x:c r="C14" s="17" t="str">
        <x:v>Numeric input</x:v>
      </x:c>
    </x:row>
    <x:row r="15">
      <x:c r="A15" s="17" t="str">
        <x:v>Total Leave &amp; Permission</x:v>
      </x:c>
      <x:c r="B15" s="17" t="str">
        <x:v>Combined leave and permission hours.</x:v>
      </x:c>
      <x:c r="C15" s="17" t="str">
        <x:v>Derived feature</x:v>
      </x:c>
    </x:row>
    <x:row r="16">
      <x:c r="A16" s="17" t="str">
        <x:v>Net Productive Hours</x:v>
      </x:c>
      <x:c r="B16" s="17" t="str">
        <x:v>Working hours minus lunch and break time.</x:v>
      </x:c>
      <x:c r="C16" s="17" t="str">
        <x:v>Derived feature</x:v>
      </x:c>
    </x:row>
    <x:row r="17">
      <x:c r="A17" s="17" t="str">
        <x:v>Overtime Hours</x:v>
      </x:c>
      <x:c r="B17" s="17" t="str">
        <x:v>Hours above 8 per day.</x:v>
      </x:c>
      <x:c r="C17" s="17" t="str">
        <x:v>Derived feature</x:v>
      </x:c>
    </x:row>
    <x:row r="18">
      <x:c r="A18" s="17" t="str">
        <x:v>Productivity Score</x:v>
      </x:c>
      <x:c r="B18" s="17" t="str">
        <x:v>Sample calculated target score from productive hours and leave/permission.</x:v>
      </x:c>
      <x:c r="C18" s="17" t="str">
        <x:v>Regression target</x:v>
      </x:c>
    </x:row>
    <x:row r="19">
      <x:c r="A19" s="17" t="str">
        <x:v>Productivity Label</x:v>
      </x:c>
      <x:c r="B19" s="17" t="str">
        <x:v>High/Medium/Low classification based on productivity score.</x:v>
      </x:c>
      <x:c r="C19" s="17" t="str">
        <x:v>Classification target</x:v>
      </x:c>
    </x:row>
    <x:row r="20">
      <x:c r="A20" s="17" t="str">
        <x:v>Status</x:v>
      </x:c>
      <x:c r="B20" s="17" t="str">
        <x:v>Daily work status such as Regular, Permission, Overtime, Half Day, or Leave.</x:v>
      </x:c>
      <x:c r="C20" s="17" t="str">
        <x:v>Categorical feature</x:v>
      </x:c>
    </x:row>
  </x:sheetData>
  <x:pageMargins left="0.7" right="0.7" top="0.75" bottom="0.75" header="0.3" footer="0.3"/>
</x:worksheet>
</file>